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Threshold Data" sheetId="2" state="visible" r:id="rId4"/>
    <sheet name="Sensitivity" sheetId="3" state="visible" r:id="rId5"/>
    <sheet name="By Weight Ba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<sst xmlns="http://schemas.openxmlformats.org/spreadsheetml/2006/main" count="65" uniqueCount="62">
  <si>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WashRoute - Delivery W&amp;F: Price + Conversion + Demand Model</t>
  </si>
  <si>
    <t xml:space="preserve">Actual May 2026 Delivery volume. Blue = editable inputs. Three stacked effects: price/mix, new-signup conversion, overall demand.</t>
  </si>
  <si>
    <t xml:space="preserve">PRICING INPUTS</t>
  </si>
  <si>
    <t xml:space="preserve">May (actual)</t>
  </si>
  <si>
    <t xml:space="preserve">Scenario</t>
  </si>
  <si>
    <t xml:space="preserve">READ-OUT</t>
  </si>
  <si>
    <t xml:space="preserve">Base price per bag ($)</t>
  </si>
  <si>
    <t xml:space="preserve">Three stacked effects on May:
1) Price / mix - reprice all May orders to $55 / 20 lbs: ~+$7,900 (+5.5%).
2) Overall demand +5% - 5% more orders across the book (~79 orders) at ~$97 each: ~+$7,600.
3) Signup conversion 50%-&gt;60% on ~150 signups - ~15 extra first orders: ~+$1,500.
Total ~ $161,800 vs May $144,800 = about +$17,000 (+11.7%). Volume (effects 2 + 3) now drives roughly half the gain. Each new/retained customer also compounds over their lifetime, which this single month does not capture. Edit any blue cell to flex.</t>
  </si>
  <si>
    <t xml:space="preserve">Included lbs per bag</t>
  </si>
  <si>
    <t xml:space="preserve">Overage $ per lb</t>
  </si>
  <si>
    <t xml:space="preserve">DEMAND INPUTS</t>
  </si>
  <si>
    <t xml:space="preserve">May</t>
  </si>
  <si>
    <t xml:space="preserve">New signups in May</t>
  </si>
  <si>
    <t xml:space="preserve">Signup conversion rate</t>
  </si>
  <si>
    <t xml:space="preserve">First orders from signups</t>
  </si>
  <si>
    <t xml:space="preserve">Incremental first orders (vs May)</t>
  </si>
  <si>
    <t xml:space="preserve">Overall order increase (whole book)</t>
  </si>
  <si>
    <t xml:space="preserve">VOLUME</t>
  </si>
  <si>
    <t xml:space="preserve">May delivered orders</t>
  </si>
  <si>
    <t xml:space="preserve">Total bags (May)</t>
  </si>
  <si>
    <t xml:space="preserve">Extra orders - overall lift</t>
  </si>
  <si>
    <t xml:space="preserve">Scenario orders total</t>
  </si>
  <si>
    <t xml:space="preserve">RESULTS (base + overage)</t>
  </si>
  <si>
    <t xml:space="preserve">Overage lbs (from May weights)</t>
  </si>
  <si>
    <t xml:space="preserve">Revenue on May orders (repriced)</t>
  </si>
  <si>
    <t xml:space="preserve">Avg revenue per order (scenario)</t>
  </si>
  <si>
    <t xml:space="preserve">+ Overall demand (+5%)</t>
  </si>
  <si>
    <t xml:space="preserve">+ Signup conversion (extra orders)</t>
  </si>
  <si>
    <t xml:space="preserve">Scenario total revenue</t>
  </si>
  <si>
    <t xml:space="preserve">UPLIFT vs May actual</t>
  </si>
  <si>
    <t xml:space="preserve">1. Price / mix (whole book)</t>
  </si>
  <si>
    <t xml:space="preserve">2. Overall demand (+5%)</t>
  </si>
  <si>
    <t xml:space="preserve">3. Signup conversion (50%-&gt;60%)</t>
  </si>
  <si>
    <t xml:space="preserve">Total uplift ($)</t>
  </si>
  <si>
    <t xml:space="preserve">Total uplift (%)</t>
  </si>
  <si>
    <t xml:space="preserve">Included lbs/bag</t>
  </si>
  <si>
    <t xml:space="preserve">Total overage lbs (May)</t>
  </si>
  <si>
    <t xml:space="preserve">Source: Supabase, May 2026 Delivery Wash &amp; Fold, delivered orders w/ weight. 1,571 orders / 2,280 bags.</t>
  </si>
  <si>
    <t xml:space="preserve">Sensitivity - price grid (overage $3/lb, May volume, price only)</t>
  </si>
  <si>
    <t xml:space="preserve">Revenue $ - Base (down) x Included lbs (across)</t>
  </si>
  <si>
    <t xml:space="preserve">vs May actual $144,801</t>
  </si>
  <si>
    <t xml:space="preserve">Conversion sensitivity (incl. price + 5% demand; conversion varies)</t>
  </si>
  <si>
    <t xml:space="preserve">Scenario conv</t>
  </si>
  <si>
    <t xml:space="preserve">Extra 1st orders</t>
  </si>
  <si>
    <t xml:space="preserve">Conversion $</t>
  </si>
  <si>
    <t xml:space="preserve">Total uplift $</t>
  </si>
  <si>
    <t xml:space="preserve">Total revenue</t>
  </si>
  <si>
    <t xml:space="preserve">Total revenue includes the price effect (~$7,900) and the 5% demand effect (~$7,600) in every row; only the signup-conversion piece varies.</t>
  </si>
  <si>
    <t xml:space="preserve">Impact by load size - May $59/25 -&gt; $55/20 (price only)</t>
  </si>
  <si>
    <t xml:space="preserve">Lbs per bag</t>
  </si>
  <si>
    <t xml:space="preserve">Orders</t>
  </si>
  <si>
    <t xml:space="preserve">May revenue</t>
  </si>
  <si>
    <t xml:space="preserve">Scenario revenue</t>
  </si>
  <si>
    <t xml:space="preserve">Change ($)</t>
  </si>
  <si>
    <t xml:space="preserve">Pay more</t>
  </si>
  <si>
    <t xml:space="preserve">Pay less</t>
  </si>
  <si>
    <t xml:space="preserve">Under 15</t>
  </si>
  <si>
    <t xml:space="preserve">15 - 20</t>
  </si>
  <si>
    <t xml:space="preserve">20 - 25</t>
  </si>
  <si>
    <t xml:space="preserve">25 - 30</t>
  </si>
  <si>
    <t xml:space="preserve">30+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</si>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</sst>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#,##0;\(#,##0\);\-"/>
    <numFmt numFmtId="167" formatCode="0.0%;\(0.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66708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6BF"/>
        <bgColor rgb="FFFFFF99"/>
      </patternFill>
    </fill>
    <fill>
      <patternFill patternType="solid">
        <fgColor rgb="FFE8EC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BF"/>
      <rgbColor rgb="FFE8ECF4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5"/>
    <col collapsed="false" customWidth="true" hidden="false" outlineLevel="0" max="4" min="4" style="0" width="2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E4" s="3" t="s">
        <v>5</v>
      </c>
    </row>
    <row r="5" customFormat="false" ht="15" hidden="false" customHeight="true" outlineLevel="0" collapsed="false">
      <c r="A5" s="5" t="s">
        <v>6</v>
      </c>
      <c r="B5" s="6" t="n">
        <v>59</v>
      </c>
      <c r="C5" s="6" t="n">
        <v>55</v>
      </c>
      <c r="E5" s="7" t="s">
        <v>7</v>
      </c>
    </row>
    <row r="6" customFormat="false" ht="15" hidden="false" customHeight="false" outlineLevel="0" collapsed="false">
      <c r="A6" s="5" t="s">
        <v>8</v>
      </c>
      <c r="B6" s="8" t="n">
        <v>25</v>
      </c>
      <c r="C6" s="8" t="n">
        <v>20</v>
      </c>
      <c r="E6" s="7"/>
    </row>
    <row r="7" customFormat="false" ht="15" hidden="false" customHeight="false" outlineLevel="0" collapsed="false">
      <c r="A7" s="5" t="s">
        <v>9</v>
      </c>
      <c r="B7" s="6" t="n">
        <v>3</v>
      </c>
      <c r="C7" s="6" t="n">
        <v>3</v>
      </c>
      <c r="E7" s="7"/>
    </row>
    <row r="8" customFormat="false" ht="15" hidden="false" customHeight="false" outlineLevel="0" collapsed="false">
      <c r="E8" s="7"/>
    </row>
    <row r="9" customFormat="false" ht="15" hidden="false" customHeight="false" outlineLevel="0" collapsed="false">
      <c r="A9" s="3" t="s">
        <v>10</v>
      </c>
      <c r="B9" s="4" t="s">
        <v>11</v>
      </c>
      <c r="C9" s="4" t="s">
        <v>4</v>
      </c>
      <c r="E9" s="7"/>
    </row>
    <row r="10" customFormat="false" ht="15" hidden="false" customHeight="false" outlineLevel="0" collapsed="false">
      <c r="A10" s="5" t="s">
        <v>12</v>
      </c>
      <c r="B10" s="8" t="n">
        <v>150</v>
      </c>
      <c r="E10" s="7"/>
    </row>
    <row r="11" customFormat="false" ht="15" hidden="false" customHeight="false" outlineLevel="0" collapsed="false">
      <c r="A11" s="5" t="s">
        <v>13</v>
      </c>
      <c r="B11" s="9" t="n">
        <v>0.5</v>
      </c>
      <c r="C11" s="9" t="n">
        <v>0.6</v>
      </c>
      <c r="E11" s="7"/>
    </row>
    <row r="12" customFormat="false" ht="15" hidden="false" customHeight="false" outlineLevel="0" collapsed="false">
      <c r="A12" s="5" t="s">
        <v>14</v>
      </c>
      <c r="B12" s="10" t="n">
        <f aca="false">$B$10*B11</f>
        <v>75</v>
      </c>
      <c r="C12" s="10" t="n">
        <f aca="false">$B$10*C11</f>
        <v>90</v>
      </c>
      <c r="E12" s="7"/>
    </row>
    <row r="13" customFormat="false" ht="15" hidden="false" customHeight="false" outlineLevel="0" collapsed="false">
      <c r="A13" s="5" t="s">
        <v>15</v>
      </c>
      <c r="C13" s="10" t="n">
        <f aca="false">C12-B12</f>
        <v>15</v>
      </c>
      <c r="E13" s="7"/>
    </row>
    <row r="14" customFormat="false" ht="15" hidden="false" customHeight="false" outlineLevel="0" collapsed="false">
      <c r="A14" s="5" t="s">
        <v>16</v>
      </c>
      <c r="B14" s="11" t="n">
        <v>0</v>
      </c>
      <c r="C14" s="9" t="n">
        <v>0.05</v>
      </c>
      <c r="E14" s="7"/>
    </row>
    <row r="15" customFormat="false" ht="15" hidden="false" customHeight="false" outlineLevel="0" collapsed="false">
      <c r="E15" s="7"/>
    </row>
    <row r="16" customFormat="false" ht="15" hidden="false" customHeight="false" outlineLevel="0" collapsed="false">
      <c r="A16" s="3" t="s">
        <v>17</v>
      </c>
      <c r="B16" s="12"/>
      <c r="C16" s="12"/>
      <c r="E16" s="7"/>
    </row>
    <row r="17" customFormat="false" ht="15" hidden="false" customHeight="false" outlineLevel="0" collapsed="false">
      <c r="A17" s="5" t="s">
        <v>18</v>
      </c>
      <c r="B17" s="13" t="n">
        <v>1571</v>
      </c>
      <c r="E17" s="7"/>
    </row>
    <row r="18" customFormat="false" ht="15" hidden="false" customHeight="false" outlineLevel="0" collapsed="false">
      <c r="A18" s="5" t="s">
        <v>19</v>
      </c>
      <c r="B18" s="13" t="n">
        <v>2280</v>
      </c>
      <c r="E18" s="7"/>
    </row>
    <row r="19" customFormat="false" ht="15" hidden="false" customHeight="false" outlineLevel="0" collapsed="false">
      <c r="A19" s="5" t="s">
        <v>20</v>
      </c>
      <c r="C19" s="10" t="n">
        <f aca="false">$B$17*C14</f>
        <v>78.55</v>
      </c>
      <c r="E19" s="7"/>
    </row>
    <row r="20" customFormat="false" ht="15" hidden="false" customHeight="false" outlineLevel="0" collapsed="false">
      <c r="A20" s="5" t="s">
        <v>21</v>
      </c>
      <c r="C20" s="14" t="n">
        <f aca="false">B17+C13+C19</f>
        <v>1664.55</v>
      </c>
      <c r="E20" s="7"/>
    </row>
    <row r="21" customFormat="false" ht="15" hidden="false" customHeight="false" outlineLevel="0" collapsed="false">
      <c r="E21" s="7"/>
    </row>
    <row r="22" customFormat="false" ht="15" hidden="false" customHeight="false" outlineLevel="0" collapsed="false">
      <c r="A22" s="3" t="s">
        <v>22</v>
      </c>
      <c r="B22" s="4" t="s">
        <v>11</v>
      </c>
      <c r="C22" s="4" t="s">
        <v>4</v>
      </c>
      <c r="E22" s="7"/>
    </row>
    <row r="23" customFormat="false" ht="15" hidden="false" customHeight="false" outlineLevel="0" collapsed="false">
      <c r="A23" s="5" t="s">
        <v>23</v>
      </c>
      <c r="B23" s="10" t="n">
        <f aca="false">VLOOKUP(B6,'Threshold Data'!$A$2:$B$15,2,FALSE())</f>
        <v>3427</v>
      </c>
      <c r="C23" s="10" t="n">
        <f aca="false">VLOOKUP(C6,'Threshold Data'!$A$2:$B$15,2,FALSE())</f>
        <v>9101</v>
      </c>
      <c r="E23" s="7"/>
    </row>
    <row r="24" customFormat="false" ht="15" hidden="false" customHeight="false" outlineLevel="0" collapsed="false">
      <c r="A24" s="5" t="s">
        <v>24</v>
      </c>
      <c r="B24" s="15" t="n">
        <f aca="false">B5*$B$18+B7*B23</f>
        <v>144801</v>
      </c>
      <c r="C24" s="15" t="n">
        <f aca="false">C5*$B$18+C7*C23</f>
        <v>152703</v>
      </c>
      <c r="E24" s="7"/>
    </row>
    <row r="25" customFormat="false" ht="15" hidden="false" customHeight="false" outlineLevel="0" collapsed="false">
      <c r="A25" s="5" t="s">
        <v>25</v>
      </c>
      <c r="C25" s="15" t="n">
        <f aca="false">C24/$B$17</f>
        <v>97.2011457670274</v>
      </c>
      <c r="E25" s="7"/>
    </row>
    <row r="26" customFormat="false" ht="15" hidden="false" customHeight="false" outlineLevel="0" collapsed="false">
      <c r="A26" s="5" t="s">
        <v>26</v>
      </c>
      <c r="C26" s="15" t="n">
        <f aca="false">C24*C14</f>
        <v>7635.15</v>
      </c>
      <c r="E26" s="7"/>
    </row>
    <row r="27" customFormat="false" ht="15" hidden="false" customHeight="false" outlineLevel="0" collapsed="false">
      <c r="A27" s="5" t="s">
        <v>27</v>
      </c>
      <c r="C27" s="15" t="n">
        <f aca="false">C13*C25</f>
        <v>1458.01718650541</v>
      </c>
      <c r="E27" s="7"/>
    </row>
    <row r="28" customFormat="false" ht="15" hidden="false" customHeight="false" outlineLevel="0" collapsed="false">
      <c r="A28" s="16" t="s">
        <v>28</v>
      </c>
      <c r="B28" s="17" t="n">
        <f aca="false">B24</f>
        <v>144801</v>
      </c>
      <c r="C28" s="17" t="n">
        <f aca="false">C24+C26+C27</f>
        <v>161796.167186505</v>
      </c>
      <c r="E28" s="7"/>
    </row>
    <row r="29" customFormat="false" ht="15" hidden="false" customHeight="false" outlineLevel="0" collapsed="false">
      <c r="E29" s="7"/>
    </row>
    <row r="30" customFormat="false" ht="15" hidden="false" customHeight="false" outlineLevel="0" collapsed="false">
      <c r="A30" s="3" t="s">
        <v>29</v>
      </c>
      <c r="B30" s="12"/>
      <c r="C30" s="12"/>
      <c r="E30" s="7"/>
    </row>
    <row r="31" customFormat="false" ht="15" hidden="false" customHeight="false" outlineLevel="0" collapsed="false">
      <c r="A31" s="5" t="s">
        <v>30</v>
      </c>
      <c r="C31" s="15" t="n">
        <f aca="false">C24-B24</f>
        <v>7902</v>
      </c>
      <c r="E31" s="7"/>
    </row>
    <row r="32" customFormat="false" ht="15" hidden="false" customHeight="false" outlineLevel="0" collapsed="false">
      <c r="A32" s="5" t="s">
        <v>31</v>
      </c>
      <c r="C32" s="15" t="n">
        <f aca="false">C26</f>
        <v>7635.15</v>
      </c>
      <c r="E32" s="7"/>
    </row>
    <row r="33" customFormat="false" ht="15" hidden="false" customHeight="false" outlineLevel="0" collapsed="false">
      <c r="A33" s="5" t="s">
        <v>32</v>
      </c>
      <c r="C33" s="15" t="n">
        <f aca="false">C27</f>
        <v>1458.01718650541</v>
      </c>
      <c r="E33" s="7"/>
    </row>
    <row r="34" customFormat="false" ht="15" hidden="false" customHeight="false" outlineLevel="0" collapsed="false">
      <c r="A34" s="16" t="s">
        <v>33</v>
      </c>
      <c r="C34" s="18" t="n">
        <f aca="false">C28-B28</f>
        <v>16995.1671865054</v>
      </c>
      <c r="E34" s="7"/>
    </row>
    <row r="35" customFormat="false" ht="15" hidden="false" customHeight="false" outlineLevel="0" collapsed="false">
      <c r="A35" s="16" t="s">
        <v>34</v>
      </c>
      <c r="C35" s="19" t="n">
        <f aca="false">(C28-B28)/B28</f>
        <v>0.117369128573044</v>
      </c>
      <c r="E35" s="7"/>
    </row>
  </sheetData>
  <mergeCells count="1">
    <mergeCell ref="E5:E35"/>
  </mergeCells>
  <dataValidations count="1">
    <dataValidation allowBlank="false" errorStyle="stop" operator="between" showDropDown="false" showErrorMessage="false" showInputMessage="false" sqref="B6:C6" type="list">
      <formula1>"15,16,17,18,19,20,21,22,23,24,25,26,27,28"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15" hidden="false" customHeight="false" outlineLevel="0" collapsed="false">
      <c r="A1" s="3" t="s">
        <v>35</v>
      </c>
      <c r="B1" s="4" t="s">
        <v>36</v>
      </c>
    </row>
    <row r="2" customFormat="false" ht="15" hidden="false" customHeight="false" outlineLevel="0" collapsed="false">
      <c r="A2" s="20" t="n">
        <v>15</v>
      </c>
      <c r="B2" s="21" t="n">
        <v>17960</v>
      </c>
    </row>
    <row r="3" customFormat="false" ht="15" hidden="false" customHeight="false" outlineLevel="0" collapsed="false">
      <c r="A3" s="20" t="n">
        <v>16</v>
      </c>
      <c r="B3" s="21" t="n">
        <v>15995</v>
      </c>
    </row>
    <row r="4" customFormat="false" ht="15" hidden="false" customHeight="false" outlineLevel="0" collapsed="false">
      <c r="A4" s="20" t="n">
        <v>17</v>
      </c>
      <c r="B4" s="21" t="n">
        <v>14126</v>
      </c>
    </row>
    <row r="5" customFormat="false" ht="15" hidden="false" customHeight="false" outlineLevel="0" collapsed="false">
      <c r="A5" s="20" t="n">
        <v>18</v>
      </c>
      <c r="B5" s="21" t="n">
        <v>12339</v>
      </c>
    </row>
    <row r="6" customFormat="false" ht="15" hidden="false" customHeight="false" outlineLevel="0" collapsed="false">
      <c r="A6" s="20" t="n">
        <v>19</v>
      </c>
      <c r="B6" s="21" t="n">
        <v>10652</v>
      </c>
    </row>
    <row r="7" customFormat="false" ht="15" hidden="false" customHeight="false" outlineLevel="0" collapsed="false">
      <c r="A7" s="20" t="n">
        <v>20</v>
      </c>
      <c r="B7" s="21" t="n">
        <v>9101</v>
      </c>
    </row>
    <row r="8" customFormat="false" ht="15" hidden="false" customHeight="false" outlineLevel="0" collapsed="false">
      <c r="A8" s="20" t="n">
        <v>21</v>
      </c>
      <c r="B8" s="21" t="n">
        <v>7690</v>
      </c>
    </row>
    <row r="9" customFormat="false" ht="15" hidden="false" customHeight="false" outlineLevel="0" collapsed="false">
      <c r="A9" s="20" t="n">
        <v>22</v>
      </c>
      <c r="B9" s="21" t="n">
        <v>6417</v>
      </c>
    </row>
    <row r="10" customFormat="false" ht="15" hidden="false" customHeight="false" outlineLevel="0" collapsed="false">
      <c r="A10" s="20" t="n">
        <v>23</v>
      </c>
      <c r="B10" s="21" t="n">
        <v>5275</v>
      </c>
    </row>
    <row r="11" customFormat="false" ht="15" hidden="false" customHeight="false" outlineLevel="0" collapsed="false">
      <c r="A11" s="20" t="n">
        <v>24</v>
      </c>
      <c r="B11" s="21" t="n">
        <v>4289</v>
      </c>
    </row>
    <row r="12" customFormat="false" ht="15" hidden="false" customHeight="false" outlineLevel="0" collapsed="false">
      <c r="A12" s="20" t="n">
        <v>25</v>
      </c>
      <c r="B12" s="21" t="n">
        <v>3427</v>
      </c>
    </row>
    <row r="13" customFormat="false" ht="15" hidden="false" customHeight="false" outlineLevel="0" collapsed="false">
      <c r="A13" s="20" t="n">
        <v>26</v>
      </c>
      <c r="B13" s="21" t="n">
        <v>2728</v>
      </c>
    </row>
    <row r="14" customFormat="false" ht="15" hidden="false" customHeight="false" outlineLevel="0" collapsed="false">
      <c r="A14" s="20" t="n">
        <v>27</v>
      </c>
      <c r="B14" s="21" t="n">
        <v>2169</v>
      </c>
    </row>
    <row r="15" customFormat="false" ht="15" hidden="false" customHeight="false" outlineLevel="0" collapsed="false">
      <c r="A15" s="20" t="n">
        <v>28</v>
      </c>
      <c r="B15" s="21" t="n">
        <v>1699</v>
      </c>
    </row>
    <row r="17" customFormat="false" ht="15" hidden="false" customHeight="true" outlineLevel="0" collapsed="false">
      <c r="A17" s="22" t="s">
        <v>37</v>
      </c>
      <c r="B17" s="22"/>
    </row>
    <row r="18" customFormat="false" ht="15" hidden="false" customHeight="false" outlineLevel="0" collapsed="false">
      <c r="A18" s="22"/>
      <c r="B18" s="22"/>
    </row>
    <row r="19" customFormat="false" ht="15" hidden="false" customHeight="false" outlineLevel="0" collapsed="false">
      <c r="A19" s="22"/>
      <c r="B19" s="22"/>
    </row>
  </sheetData>
  <mergeCells count="1">
    <mergeCell ref="A17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5" min="2" style="0" width="15"/>
  </cols>
  <sheetData>
    <row r="1" customFormat="false" ht="15" hidden="false" customHeight="false" outlineLevel="0" collapsed="false">
      <c r="A1" s="23" t="s">
        <v>38</v>
      </c>
    </row>
    <row r="3" customFormat="false" ht="15" hidden="false" customHeight="false" outlineLevel="0" collapsed="false">
      <c r="A3" s="24" t="s">
        <v>39</v>
      </c>
      <c r="B3" s="25" t="n">
        <v>18</v>
      </c>
      <c r="C3" s="25" t="n">
        <v>20</v>
      </c>
      <c r="D3" s="25" t="n">
        <v>22</v>
      </c>
      <c r="E3" s="25" t="n">
        <v>25</v>
      </c>
    </row>
    <row r="4" customFormat="false" ht="15" hidden="false" customHeight="false" outlineLevel="0" collapsed="false">
      <c r="A4" s="17" t="n">
        <v>53</v>
      </c>
      <c r="B4" s="26" t="n">
        <f aca="false">$A4*Model!$B$18+Model!$B$7*VLOOKUP(B$3,'Threshold Data'!$A$2:$B$15,2,FALSE())</f>
        <v>157857</v>
      </c>
      <c r="C4" s="26" t="n">
        <f aca="false">$A4*Model!$B$18+Model!$B$7*VLOOKUP(C$3,'Threshold Data'!$A$2:$B$15,2,FALSE())</f>
        <v>148143</v>
      </c>
      <c r="D4" s="26" t="n">
        <f aca="false">$A4*Model!$B$18+Model!$B$7*VLOOKUP(D$3,'Threshold Data'!$A$2:$B$15,2,FALSE())</f>
        <v>140091</v>
      </c>
      <c r="E4" s="26" t="n">
        <f aca="false">$A4*Model!$B$18+Model!$B$7*VLOOKUP(E$3,'Threshold Data'!$A$2:$B$15,2,FALSE())</f>
        <v>131121</v>
      </c>
    </row>
    <row r="5" customFormat="false" ht="15" hidden="false" customHeight="false" outlineLevel="0" collapsed="false">
      <c r="A5" s="17" t="n">
        <v>55</v>
      </c>
      <c r="B5" s="26" t="n">
        <f aca="false">$A5*Model!$B$18+Model!$B$7*VLOOKUP(B$3,'Threshold Data'!$A$2:$B$15,2,FALSE())</f>
        <v>162417</v>
      </c>
      <c r="C5" s="27"/>
      <c r="D5" s="26" t="n">
        <f aca="false">$A5*Model!$B$18+Model!$B$7*VLOOKUP(D$3,'Threshold Data'!$A$2:$B$15,2,FALSE())</f>
        <v>144651</v>
      </c>
      <c r="E5" s="26" t="n">
        <f aca="false">$A5*Model!$B$18+Model!$B$7*VLOOKUP(E$3,'Threshold Data'!$A$2:$B$15,2,FALSE())</f>
        <v>135681</v>
      </c>
    </row>
    <row r="6" customFormat="false" ht="15" hidden="false" customHeight="false" outlineLevel="0" collapsed="false">
      <c r="A6" s="17" t="n">
        <v>57</v>
      </c>
      <c r="B6" s="26" t="n">
        <f aca="false">$A6*Model!$B$18+Model!$B$7*VLOOKUP(B$3,'Threshold Data'!$A$2:$B$15,2,FALSE())</f>
        <v>166977</v>
      </c>
      <c r="C6" s="26" t="n">
        <f aca="false">$A6*Model!$B$18+Model!$B$7*VLOOKUP(C$3,'Threshold Data'!$A$2:$B$15,2,FALSE())</f>
        <v>157263</v>
      </c>
      <c r="D6" s="26" t="n">
        <f aca="false">$A6*Model!$B$18+Model!$B$7*VLOOKUP(D$3,'Threshold Data'!$A$2:$B$15,2,FALSE())</f>
        <v>149211</v>
      </c>
      <c r="E6" s="26" t="n">
        <f aca="false">$A6*Model!$B$18+Model!$B$7*VLOOKUP(E$3,'Threshold Data'!$A$2:$B$15,2,FALSE())</f>
        <v>140241</v>
      </c>
    </row>
    <row r="7" customFormat="false" ht="15" hidden="false" customHeight="false" outlineLevel="0" collapsed="false">
      <c r="A7" s="17" t="n">
        <v>59</v>
      </c>
      <c r="B7" s="26" t="n">
        <f aca="false">$A7*Model!$B$18+Model!$B$7*VLOOKUP(B$3,'Threshold Data'!$A$2:$B$15,2,FALSE())</f>
        <v>171537</v>
      </c>
      <c r="C7" s="26" t="n">
        <f aca="false">$A7*Model!$B$18+Model!$B$7*VLOOKUP(C$3,'Threshold Data'!$A$2:$B$15,2,FALSE())</f>
        <v>161823</v>
      </c>
      <c r="D7" s="26" t="n">
        <f aca="false">$A7*Model!$B$18+Model!$B$7*VLOOKUP(D$3,'Threshold Data'!$A$2:$B$15,2,FALSE())</f>
        <v>153771</v>
      </c>
      <c r="E7" s="26" t="n">
        <f aca="false">$A7*Model!$B$18+Model!$B$7*VLOOKUP(E$3,'Threshold Data'!$A$2:$B$15,2,FALSE())</f>
        <v>144801</v>
      </c>
    </row>
    <row r="9" customFormat="false" ht="15" hidden="false" customHeight="false" outlineLevel="0" collapsed="false">
      <c r="A9" s="24" t="s">
        <v>40</v>
      </c>
      <c r="B9" s="25" t="n">
        <v>18</v>
      </c>
      <c r="C9" s="25" t="n">
        <v>20</v>
      </c>
      <c r="D9" s="25" t="n">
        <v>22</v>
      </c>
      <c r="E9" s="25" t="n">
        <v>25</v>
      </c>
    </row>
    <row r="10" customFormat="false" ht="15" hidden="false" customHeight="false" outlineLevel="0" collapsed="false">
      <c r="A10" s="17" t="n">
        <v>53</v>
      </c>
      <c r="B10" s="26" t="n">
        <f aca="false">B4-Model!$B$24</f>
        <v>13056</v>
      </c>
      <c r="C10" s="26" t="n">
        <f aca="false">C4-Model!$B$24</f>
        <v>3342</v>
      </c>
      <c r="D10" s="26" t="n">
        <f aca="false">D4-Model!$B$24</f>
        <v>-4710</v>
      </c>
      <c r="E10" s="26" t="n">
        <f aca="false">E4-Model!$B$24</f>
        <v>-13680</v>
      </c>
    </row>
    <row r="11" customFormat="false" ht="15" hidden="false" customHeight="false" outlineLevel="0" collapsed="false">
      <c r="A11" s="17" t="n">
        <v>55</v>
      </c>
      <c r="B11" s="26" t="n">
        <f aca="false">B5-Model!$B$24</f>
        <v>17616</v>
      </c>
      <c r="C11" s="26" t="n">
        <f aca="false">C5-Model!$B$24</f>
        <v>-144801</v>
      </c>
      <c r="D11" s="26" t="n">
        <f aca="false">D5-Model!$B$24</f>
        <v>-150</v>
      </c>
      <c r="E11" s="26" t="n">
        <f aca="false">E5-Model!$B$24</f>
        <v>-9120</v>
      </c>
    </row>
    <row r="12" customFormat="false" ht="15" hidden="false" customHeight="false" outlineLevel="0" collapsed="false">
      <c r="A12" s="17" t="n">
        <v>57</v>
      </c>
      <c r="B12" s="26" t="n">
        <f aca="false">B6-Model!$B$24</f>
        <v>22176</v>
      </c>
      <c r="C12" s="26" t="n">
        <f aca="false">C6-Model!$B$24</f>
        <v>12462</v>
      </c>
      <c r="D12" s="26" t="n">
        <f aca="false">D6-Model!$B$24</f>
        <v>4410</v>
      </c>
      <c r="E12" s="26" t="n">
        <f aca="false">E6-Model!$B$24</f>
        <v>-4560</v>
      </c>
    </row>
    <row r="13" customFormat="false" ht="15" hidden="false" customHeight="false" outlineLevel="0" collapsed="false">
      <c r="A13" s="17" t="n">
        <v>59</v>
      </c>
      <c r="B13" s="26" t="n">
        <f aca="false">B7-Model!$B$24</f>
        <v>26736</v>
      </c>
      <c r="C13" s="26" t="n">
        <f aca="false">C7-Model!$B$24</f>
        <v>17022</v>
      </c>
      <c r="D13" s="26" t="n">
        <f aca="false">D7-Model!$B$24</f>
        <v>8970</v>
      </c>
      <c r="E13" s="26" t="n">
        <f aca="false">E7-Model!$B$24</f>
        <v>0</v>
      </c>
    </row>
    <row r="16" customFormat="false" ht="15" hidden="false" customHeight="false" outlineLevel="0" collapsed="false">
      <c r="A16" s="23" t="s">
        <v>41</v>
      </c>
    </row>
    <row r="17" customFormat="false" ht="15" hidden="false" customHeight="false" outlineLevel="0" collapsed="false">
      <c r="A17" s="4" t="s">
        <v>42</v>
      </c>
      <c r="B17" s="4" t="s">
        <v>43</v>
      </c>
      <c r="C17" s="4" t="s">
        <v>44</v>
      </c>
      <c r="D17" s="4" t="s">
        <v>45</v>
      </c>
      <c r="E17" s="4" t="s">
        <v>46</v>
      </c>
    </row>
    <row r="18" customFormat="false" ht="15" hidden="false" customHeight="false" outlineLevel="0" collapsed="false">
      <c r="A18" s="28" t="n">
        <v>0.5</v>
      </c>
      <c r="B18" s="21" t="n">
        <f aca="false">Model!$B$10*(A18-Model!$B$11)</f>
        <v>0</v>
      </c>
      <c r="C18" s="26" t="n">
        <f aca="false">B18*Model!$C$25</f>
        <v>0</v>
      </c>
      <c r="D18" s="26" t="n">
        <f aca="false">Model!$C$31+Model!$C$26+C18</f>
        <v>15537.15</v>
      </c>
      <c r="E18" s="26" t="n">
        <f aca="false">Model!$B$24+D18</f>
        <v>160338.15</v>
      </c>
    </row>
    <row r="19" customFormat="false" ht="15" hidden="false" customHeight="false" outlineLevel="0" collapsed="false">
      <c r="A19" s="28" t="n">
        <v>0.55</v>
      </c>
      <c r="B19" s="21" t="n">
        <f aca="false">Model!$B$10*(A19-Model!$B$11)</f>
        <v>7.50000000000001</v>
      </c>
      <c r="C19" s="26" t="n">
        <f aca="false">B19*Model!$C$25</f>
        <v>729.008593252706</v>
      </c>
      <c r="D19" s="26" t="n">
        <f aca="false">Model!$C$31+Model!$C$26+C19</f>
        <v>16266.1585932527</v>
      </c>
      <c r="E19" s="26" t="n">
        <f aca="false">Model!$B$24+D19</f>
        <v>161067.158593253</v>
      </c>
    </row>
    <row r="20" customFormat="false" ht="15" hidden="false" customHeight="false" outlineLevel="0" collapsed="false">
      <c r="A20" s="28" t="n">
        <v>0.6</v>
      </c>
      <c r="B20" s="21" t="n">
        <f aca="false">Model!$B$10*(A20-Model!$B$11)</f>
        <v>15</v>
      </c>
      <c r="C20" s="26" t="n">
        <f aca="false">B20*Model!$C$25</f>
        <v>1458.01718650541</v>
      </c>
      <c r="D20" s="26" t="n">
        <f aca="false">Model!$C$31+Model!$C$26+C20</f>
        <v>16995.1671865054</v>
      </c>
      <c r="E20" s="26" t="n">
        <f aca="false">Model!$B$24+D20</f>
        <v>161796.167186505</v>
      </c>
    </row>
    <row r="21" customFormat="false" ht="15" hidden="false" customHeight="false" outlineLevel="0" collapsed="false">
      <c r="A21" s="28" t="n">
        <v>0.65</v>
      </c>
      <c r="B21" s="21" t="n">
        <f aca="false">Model!$B$10*(A21-Model!$B$11)</f>
        <v>22.5</v>
      </c>
      <c r="C21" s="26" t="n">
        <f aca="false">B21*Model!$C$25</f>
        <v>2187.02577975812</v>
      </c>
      <c r="D21" s="26" t="n">
        <f aca="false">Model!$C$31+Model!$C$26+C21</f>
        <v>17724.1757797581</v>
      </c>
      <c r="E21" s="26" t="n">
        <f aca="false">Model!$B$24+D21</f>
        <v>162525.175779758</v>
      </c>
    </row>
    <row r="22" customFormat="false" ht="15" hidden="false" customHeight="false" outlineLevel="0" collapsed="false">
      <c r="A22" s="28" t="n">
        <v>0.7</v>
      </c>
      <c r="B22" s="21" t="n">
        <f aca="false">Model!$B$10*(A22-Model!$B$11)</f>
        <v>30</v>
      </c>
      <c r="C22" s="26" t="n">
        <f aca="false">B22*Model!$C$25</f>
        <v>2916.03437301082</v>
      </c>
      <c r="D22" s="26" t="n">
        <f aca="false">Model!$C$31+Model!$C$26+C22</f>
        <v>18453.1843730108</v>
      </c>
      <c r="E22" s="26" t="n">
        <f aca="false">Model!$B$24+D22</f>
        <v>163254.184373011</v>
      </c>
    </row>
    <row r="24" customFormat="false" ht="15" hidden="false" customHeight="true" outlineLevel="0" collapsed="false">
      <c r="A24" s="22" t="s">
        <v>47</v>
      </c>
      <c r="B24" s="22"/>
      <c r="C24" s="22"/>
      <c r="D24" s="22"/>
      <c r="E24" s="22"/>
    </row>
    <row r="25" customFormat="false" ht="15" hidden="false" customHeight="false" outlineLevel="0" collapsed="false">
      <c r="A25" s="22"/>
      <c r="B25" s="22"/>
      <c r="C25" s="22"/>
      <c r="D25" s="22"/>
      <c r="E25" s="22"/>
    </row>
  </sheetData>
  <mergeCells count="1">
    <mergeCell ref="A24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1"/>
  </cols>
  <sheetData>
    <row r="1" customFormat="false" ht="15" hidden="false" customHeight="false" outlineLevel="0" collapsed="false">
      <c r="A1" s="29" t="s">
        <v>48</v>
      </c>
    </row>
    <row r="3" customFormat="false" ht="15" hidden="false" customHeight="false" outlineLevel="0" collapsed="false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54</v>
      </c>
      <c r="G3" s="4" t="s">
        <v>55</v>
      </c>
    </row>
    <row r="4" customFormat="false" ht="15" hidden="false" customHeight="false" outlineLevel="0" collapsed="false">
      <c r="A4" s="30" t="s">
        <v>56</v>
      </c>
      <c r="B4" s="21" t="n">
        <v>171</v>
      </c>
      <c r="C4" s="26" t="n">
        <v>15517</v>
      </c>
      <c r="D4" s="26" t="n">
        <v>14465</v>
      </c>
      <c r="E4" s="26" t="n">
        <f aca="false">D4-C4</f>
        <v>-1052</v>
      </c>
      <c r="F4" s="21" t="n">
        <v>0</v>
      </c>
      <c r="G4" s="21" t="n">
        <v>171</v>
      </c>
    </row>
    <row r="5" customFormat="false" ht="15" hidden="false" customHeight="false" outlineLevel="0" collapsed="false">
      <c r="A5" s="30" t="s">
        <v>57</v>
      </c>
      <c r="B5" s="21" t="n">
        <v>331</v>
      </c>
      <c r="C5" s="26" t="n">
        <v>29795</v>
      </c>
      <c r="D5" s="26" t="n">
        <v>27775</v>
      </c>
      <c r="E5" s="26" t="n">
        <f aca="false">D5-C5</f>
        <v>-2020</v>
      </c>
      <c r="F5" s="21" t="n">
        <v>0</v>
      </c>
      <c r="G5" s="21" t="n">
        <v>331</v>
      </c>
    </row>
    <row r="6" customFormat="false" ht="15" hidden="false" customHeight="false" outlineLevel="0" collapsed="false">
      <c r="A6" s="30" t="s">
        <v>58</v>
      </c>
      <c r="B6" s="21" t="n">
        <v>448</v>
      </c>
      <c r="C6" s="26" t="n">
        <v>40179</v>
      </c>
      <c r="D6" s="26" t="n">
        <v>42012</v>
      </c>
      <c r="E6" s="26" t="n">
        <f aca="false">D6-C6</f>
        <v>1833</v>
      </c>
      <c r="F6" s="21" t="n">
        <v>294</v>
      </c>
      <c r="G6" s="21" t="n">
        <v>154</v>
      </c>
    </row>
    <row r="7" customFormat="false" ht="15" hidden="false" customHeight="false" outlineLevel="0" collapsed="false">
      <c r="A7" s="30" t="s">
        <v>59</v>
      </c>
      <c r="B7" s="21" t="n">
        <v>377</v>
      </c>
      <c r="C7" s="26" t="n">
        <v>33544</v>
      </c>
      <c r="D7" s="26" t="n">
        <v>39308</v>
      </c>
      <c r="E7" s="26" t="n">
        <f aca="false">D7-C7</f>
        <v>5764</v>
      </c>
      <c r="F7" s="21" t="n">
        <v>377</v>
      </c>
      <c r="G7" s="21" t="n">
        <v>0</v>
      </c>
    </row>
    <row r="8" customFormat="false" ht="15" hidden="false" customHeight="false" outlineLevel="0" collapsed="false">
      <c r="A8" s="30" t="s">
        <v>60</v>
      </c>
      <c r="B8" s="21" t="n">
        <v>244</v>
      </c>
      <c r="C8" s="26" t="n">
        <v>25766</v>
      </c>
      <c r="D8" s="26" t="n">
        <v>29143</v>
      </c>
      <c r="E8" s="26" t="n">
        <f aca="false">D8-C8</f>
        <v>3377</v>
      </c>
      <c r="F8" s="21" t="n">
        <v>244</v>
      </c>
      <c r="G8" s="21" t="n">
        <v>0</v>
      </c>
    </row>
    <row r="9" customFormat="false" ht="15" hidden="false" customHeight="false" outlineLevel="0" collapsed="false">
      <c r="A9" s="24" t="s">
        <v>61</v>
      </c>
      <c r="B9" s="14" t="n">
        <f aca="false">SUM(B4:B8)</f>
        <v>1571</v>
      </c>
      <c r="C9" s="17" t="n">
        <f aca="false">SUM(C4:C8)</f>
        <v>144801</v>
      </c>
      <c r="D9" s="17" t="n">
        <f aca="false">SUM(D4:D8)</f>
        <v>152703</v>
      </c>
      <c r="E9" s="17" t="n">
        <f aca="false">SUM(E4:E8)</f>
        <v>7902</v>
      </c>
      <c r="F9" s="14" t="n">
        <f aca="false">SUM(F4:F8)</f>
        <v>915</v>
      </c>
      <c r="G9" s="14" t="n">
        <f aca="false">SUM(G4:G8)</f>
        <v>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2026-06-15T22:12:50Z</dcterms:created>
  <dc:creator>openpyxl</dc:creator>
  <dc:description/>
  <dc:language>en-US</dc:language>
  <cp:lastModifiedBy/>
  <dcterms:modified xsi:type="dcterms:W3CDTF">2026-06-15T22:12:50Z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