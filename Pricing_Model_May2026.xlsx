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Customer Detail (Top 200)" sheetId="3" state="visible" r:id="rId5"/>
    <sheet name="Scenarios" sheetId="4" state="visible" r:id="rId6"/>
    <sheet name="Sensitivity" sheetId="5" state="visible" r:id="rId7"/>
  </sheets>
  <definedNames>
    <definedName function="false" hidden="false" name="apr_bags" vbProcedure="false">Scenarios!$B$7</definedName>
    <definedName function="false" hidden="false" name="apr_custs" vbProcedure="false">Scenarios!$B$6</definedName>
    <definedName function="false" hidden="false" name="apr_lbs" vbProcedure="false">Scenarios!$B$8</definedName>
    <definedName function="false" hidden="false" name="apr_orders" vbProcedure="false">Scenarios!$B$5</definedName>
    <definedName function="false" hidden="false" name="apr_rev" vbProcedure="false">Scenarios!$B$9</definedName>
    <definedName function="false" hidden="false" name="b440_bags" vbProcedure="false">Scenarios!$B$13</definedName>
    <definedName function="false" hidden="false" name="b440_lbs" vbProcedure="false">Scenarios!$B$14</definedName>
    <definedName function="false" hidden="false" name="b440_rev" vbProcedure="false">Scenarios!$B$15</definedName>
    <definedName function="false" hidden="false" name="cur_fee" vbProcedure="false">Assumptions!$B$10</definedName>
    <definedName function="false" hidden="false" name="cur_overage" vbProcedure="false">Assumptions!$B$9</definedName>
    <definedName function="false" hidden="false" name="cur_rate" vbProcedure="false">Assumptions!$B$7</definedName>
    <definedName function="false" hidden="false" name="cur_thresh" vbProcedure="false">Assumptions!$B$8</definedName>
    <definedName function="false" hidden="false" name="lookback_months" vbProcedure="false">Assumptions!$B$5</definedName>
    <definedName function="false" hidden="false" name="new_fee" vbProcedure="false">Assumptions!$B$15</definedName>
    <definedName function="false" hidden="false" name="new_overage" vbProcedure="false">Assumptions!$B$14</definedName>
    <definedName function="false" hidden="false" name="new_rate" vbProcedure="false">Assumptions!$B$12</definedName>
    <definedName function="false" hidden="false" name="new_thresh" vbProcedure="false">Assumptions!$B$13</definedName>
    <definedName function="false" hidden="false" name="sub_count" vbProcedure="false">Assumptions!$B$22</definedName>
    <definedName function="false" hidden="false" name="sub_fee" vbProcedure="false">Assumptions!$B$17</definedName>
    <definedName function="false" hidden="false" name="sub_lbs" vbProcedure="false">Assumptions!$B$18</definedName>
    <definedName function="false" hidden="false" name="sub_overage" vbProcedure="false">Assumptions!$B$19</definedName>
    <definedName function="false" hidden="false" name="t200_bags" vbProcedure="false">Scenarios!$B$10</definedName>
    <definedName function="false" hidden="false" name="t200_lbs" vbProcedure="false">Scenarios!$B$11</definedName>
    <definedName function="false" hidden="false" name="t200_rev" vbProcedure="false">Scenarios!$B$12</definedName>
    <definedName function="false" hidden="false" name="vol_drop" vbProcedure="false">Assumptions!$B$21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<sst xmlns="http://schemas.openxmlformats.org/spreadsheetml/2006/main" count="347" uniqueCount="335">
  <si>
    <t xml:space="preserve">WashRoute pricing change — April 2026 model</t>
  </si>
  <si>
    <t xml:space="preserve">Window: April 2026 only (first complete month on WashRoute) · Delivery price list</t>
  </si>
  <si>
    <t xml:space="preserve">THE BOTTOM LINE</t>
  </si>
  <si>
    <t xml:space="preserve">Current pricing baseline (April actual)</t>
  </si>
  <si>
    <t xml:space="preserve">vs current</t>
  </si>
  <si>
    <t xml:space="preserve">1,489 orders, 2,227 bags, 47,456 lbs</t>
  </si>
  <si>
    <t xml:space="preserve">Rate increase only ($59 → $65, no volume drop, no subs)</t>
  </si>
  <si>
    <t xml:space="preserve">$13,362 lift / mo</t>
  </si>
  <si>
    <t xml:space="preserve">Rate increase + 0% volume drop, no subs</t>
  </si>
  <si>
    <t xml:space="preserve">Same as B with no drop assumption</t>
  </si>
  <si>
    <t xml:space="preserve">CANNIBALIZATION: Top 200 subscribe, 0% drop on bottom 440</t>
  </si>
  <si>
    <t xml:space="preserve">Your scenario — top 200 switch, others unchanged</t>
  </si>
  <si>
    <t xml:space="preserve">GROWTH: 200 NEW subscribers, 0% drop on existing per-bag</t>
  </si>
  <si>
    <t xml:space="preserve">200 new customers acquired (not converted)</t>
  </si>
  <si>
    <t xml:space="preserve">ANNUALIZED VIEW (April × 12)</t>
  </si>
  <si>
    <t xml:space="preserve">Current pricing</t>
  </si>
  <si>
    <t xml:space="preserve">annual</t>
  </si>
  <si>
    <t xml:space="preserve">Rate increase only (no drop)</t>
  </si>
  <si>
    <t xml:space="preserve">vs baseline</t>
  </si>
  <si>
    <t xml:space="preserve">Rate increase + 0% drop (same as no subs)</t>
  </si>
  <si>
    <t xml:space="preserve">Cannibalization scenario</t>
  </si>
  <si>
    <t xml:space="preserve">Growth scenario</t>
  </si>
  <si>
    <t xml:space="preserve">KEY INSIGHTS</t>
  </si>
  <si>
    <t xml:space="preserve">1. Rate increase alone is the strongest revenue lever</t>
  </si>
  <si>
    <t xml:space="preserve">Lifting per-bag from $59 → $65 with NO subscription adds $22,270/month at current April volume (annualized: $267k/year). Threshold stays at 25 lbs so customer-facing math doesn't change — just a $10 increase per bag.</t>
  </si>
  <si>
    <t xml:space="preserve">2. Cannibalization scenario barely breaks even — the rate lift is gone</t>
  </si>
  <si>
    <t xml:space="preserve">Your top 200 customers spent $88,809 in April. Putting them all on $275/mo subs gives you $55,000 in base + $26,673 in overage = $81,673 — $7,136 LESS than they pay today, and $20,236 less than they'd pay under the new $69 rate. Bottom 440 stays unchanged at $70,513 under new pricing. Total: $152,186 / month → +$2,034 vs current ($24k/year). The whole $267k/year rate-increase lift evaporates into the subscription discount you're giving your best customers.</t>
  </si>
  <si>
    <t xml:space="preserve">3. Top 200 = 59% of revenue, so converting them is high-stakes</t>
  </si>
  <si>
    <t xml:space="preserve">Top 200 = 31% of customers but 59% of revenue ($88,809 of $150,152). Replacing that with a flat-fee subscription trades high-margin variable revenue for predictable low-margin recurring revenue. The math only works if subscription unlocks materially MORE orders per customer than they're placing today (it might — flat fee removes friction).</t>
  </si>
  <si>
    <t xml:space="preserve">4. Growth scenario (200 NEW subscribers) is where the real upside lives</t>
  </si>
  <si>
    <t xml:space="preserve">If those 200 subs are net-new customers (not conversions from your top 200), revenue jumps to ~$227k/month at 0% drop, or +$919k/year vs current. That's the ONLY scenario where the subscription is genuinely additive — requires acquisition marketing to bring in customers who don't currently use you.</t>
  </si>
  <si>
    <t xml:space="preserve">5. Watch the heavy hitters — Pena, Ojeba, Ray Thomas, CCELC, Baby Lee</t>
  </si>
  <si>
    <t xml:space="preserve">Top 5 customers (Nicole Pena, Onimisi Ojeba, Ray Thomas, Kidango-CCELC, Baby Lee) average 401 lbs each in April. Under subscription they'd each pay ~$275 + ~$903 overage = ~$1,178/mo, vs the ~$1,165 they pay today and ~$1,300 they'd pay under the new rate. Pena alone saves $942/mo by subscribing — that's ~$11k/yr from one customer. Kidango is on a commercial contract and should be excluded from the consumer subscription anyway.</t>
  </si>
  <si>
    <t xml:space="preserve">RECOMMENDATIONS</t>
  </si>
  <si>
    <t xml:space="preserve">• Ship the $59 → $65 rate increase first. $22,270/month / $267k/year clean win — no behavior change required.</t>
  </si>
  <si>
    <t xml:space="preserve">• Position the subscription as a NEW-CUSTOMER acquisition product, not an upgrade for existing heavy users. Your math shows the cannibalization scenario barely breaks even — every dollar of growth has to come from new acquisition.</t>
  </si>
  <si>
    <t xml:space="preserve">• Exclude commercial accounts from the consumer subscription (Kidango sites, Charlotte Maxwell Clinic, OAKLAND ROOTS, OAKLAND COMMUNITY, FULL MOON Acupuncture, D'Auria's Children's Learning Center, etc.) — they have negotiated terms and are not who this product is for.</t>
  </si>
  <si>
    <t xml:space="preserve">• Consider reshaping the subscription: $325/mo for 100 lbs, or $275 for 75 lbs. Either pushes the break-even below 65 lbs/mo where light-medium users find it attractive without giving away $$ to your heaviest 5%.</t>
  </si>
  <si>
    <t xml:space="preserve">• Run a 60–90 day pilot: cap at 25 subscribers, all from new acquisition (not conversions). Measure actual usage, churn, overage frequency, and net revenue. Adjust the $275/100 structure before opening up.</t>
  </si>
  <si>
    <t xml:space="preserve">• Announce the rate increase + subscription option simultaneously so per-bag customers feel they have an alternative — softens the price-hike narrative.</t>
  </si>
  <si>
    <t xml:space="preserve">Pricing Model — Assumptions (April 2026 baseline)</t>
  </si>
  <si>
    <t xml:space="preserve">Inputs (BLUE cells — change to test scenarios)</t>
  </si>
  <si>
    <t xml:space="preserve">Window — month</t>
  </si>
  <si>
    <t xml:space="preserve">April 2026</t>
  </si>
  <si>
    <t xml:space="preserve">First complete month on WashRoute</t>
  </si>
  <si>
    <t xml:space="preserve">Lookback months</t>
  </si>
  <si>
    <t xml:space="preserve">Period being modeled</t>
  </si>
  <si>
    <t xml:space="preserve">CURRENT — per-bag rate ($)</t>
  </si>
  <si>
    <t xml:space="preserve">Wash &amp; Fold base price</t>
  </si>
  <si>
    <t xml:space="preserve">CURRENT — bag weight threshold (lbs)</t>
  </si>
  <si>
    <t xml:space="preserve">Lbs included in per-bag rate</t>
  </si>
  <si>
    <t xml:space="preserve">CURRENT — overage rate ($/lb)</t>
  </si>
  <si>
    <t xml:space="preserve">Beyond threshold</t>
  </si>
  <si>
    <t xml:space="preserve">CURRENT — pickup/delivery fee ($)</t>
  </si>
  <si>
    <t xml:space="preserve">Per order</t>
  </si>
  <si>
    <t xml:space="preserve">NEW — per-bag rate ($)</t>
  </si>
  <si>
    <t xml:space="preserve">RAISED from $59 → $65 (+10%)</t>
  </si>
  <si>
    <t xml:space="preserve">NEW — bag weight threshold (lbs)</t>
  </si>
  <si>
    <t xml:space="preserve">Unchanged</t>
  </si>
  <si>
    <t xml:space="preserve">NEW — overage rate ($/lb)</t>
  </si>
  <si>
    <t xml:space="preserve">NEW — pickup/delivery fee ($)</t>
  </si>
  <si>
    <t xml:space="preserve">Subscription — monthly fee ($)</t>
  </si>
  <si>
    <t xml:space="preserve">Flat fee per subscriber per month</t>
  </si>
  <si>
    <t xml:space="preserve">Subscription — included lbs/month</t>
  </si>
  <si>
    <t xml:space="preserve">Above this, charged at overage rate</t>
  </si>
  <si>
    <t xml:space="preserve">Subscription — overage rate ($/lb)</t>
  </si>
  <si>
    <t xml:space="preserve">Same as per-bag overage</t>
  </si>
  <si>
    <t xml:space="preserve">Volume drop assumption (per-bag side)</t>
  </si>
  <si>
    <t xml:space="preserve">% drop in usage from price-sensitive customers (set to 0 = no drop)</t>
  </si>
  <si>
    <t xml:space="preserve">Subscriber count target</t>
  </si>
  <si>
    <t xml:space="preserve">From existing top-200 by lbs</t>
  </si>
  <si>
    <t xml:space="preserve">Color legend</t>
  </si>
  <si>
    <t xml:space="preserve">  Blue text = input (edit me)</t>
  </si>
  <si>
    <t xml:space="preserve">  Black text = formula</t>
  </si>
  <si>
    <t xml:space="preserve">  Green text = pulled from another tab</t>
  </si>
  <si>
    <t xml:space="preserve">Top 200 customers by lbs — April 2026</t>
  </si>
  <si>
    <t xml:space="preserve">These are the 200 customers assumed to subscribe in the cannibalization scenario</t>
  </si>
  <si>
    <t xml:space="preserve">#</t>
  </si>
  <si>
    <t xml:space="preserve">Customer</t>
  </si>
  <si>
    <t xml:space="preserve">Orders</t>
  </si>
  <si>
    <t xml:space="preserve">Bags</t>
  </si>
  <si>
    <t xml:space="preserve">Lbs</t>
  </si>
  <si>
    <t xml:space="preserve">Current rev</t>
  </si>
  <si>
    <t xml:space="preserve">Rate-increase Δ</t>
  </si>
  <si>
    <t xml:space="preserve">New per-bag rev</t>
  </si>
  <si>
    <t xml:space="preserve">Sub base</t>
  </si>
  <si>
    <t xml:space="preserve">Sub overage</t>
  </si>
  <si>
    <t xml:space="preserve">Sub total</t>
  </si>
  <si>
    <t xml:space="preserve">Customer would save?</t>
  </si>
  <si>
    <t xml:space="preserve">Nicole Pena</t>
  </si>
  <si>
    <t xml:space="preserve">Onimisi Ojeba</t>
  </si>
  <si>
    <t xml:space="preserve">Ray Thomas</t>
  </si>
  <si>
    <t xml:space="preserve">Kidango - CCELC</t>
  </si>
  <si>
    <t xml:space="preserve">Baby Lee</t>
  </si>
  <si>
    <t xml:space="preserve">OAKLAND ROOTS &amp; SOUL</t>
  </si>
  <si>
    <t xml:space="preserve">Alice Neels</t>
  </si>
  <si>
    <t xml:space="preserve">Nathan Darling</t>
  </si>
  <si>
    <t xml:space="preserve">AnnaMaria Knapp</t>
  </si>
  <si>
    <t xml:space="preserve">Ruby Anderson</t>
  </si>
  <si>
    <t xml:space="preserve">Parker Thomas</t>
  </si>
  <si>
    <t xml:space="preserve">Laura Guevara</t>
  </si>
  <si>
    <t xml:space="preserve">Caragh McMaster</t>
  </si>
  <si>
    <t xml:space="preserve">Jon Patchen</t>
  </si>
  <si>
    <t xml:space="preserve">Anita Reeding</t>
  </si>
  <si>
    <t xml:space="preserve">Melissa Boldridge</t>
  </si>
  <si>
    <t xml:space="preserve">Hoan TonThat</t>
  </si>
  <si>
    <t xml:space="preserve">Linh Tran</t>
  </si>
  <si>
    <t xml:space="preserve">Sonny Grewal</t>
  </si>
  <si>
    <t xml:space="preserve">Jennifer Leech</t>
  </si>
  <si>
    <t xml:space="preserve">Charlotte Maxwell Clinic</t>
  </si>
  <si>
    <t xml:space="preserve">Satina Dunigan</t>
  </si>
  <si>
    <t xml:space="preserve">Lou Béraud</t>
  </si>
  <si>
    <t xml:space="preserve">Heather Gould</t>
  </si>
  <si>
    <t xml:space="preserve">Emma Gimon</t>
  </si>
  <si>
    <t xml:space="preserve">Chris Whittington</t>
  </si>
  <si>
    <t xml:space="preserve">David LaBree</t>
  </si>
  <si>
    <t xml:space="preserve">Michael Sullivan</t>
  </si>
  <si>
    <t xml:space="preserve">Shuting Chen</t>
  </si>
  <si>
    <t xml:space="preserve">Michelle Franzoia</t>
  </si>
  <si>
    <t xml:space="preserve">Caitlin O'Neill</t>
  </si>
  <si>
    <t xml:space="preserve">MARIA Markison</t>
  </si>
  <si>
    <t xml:space="preserve">Anubhav Arora</t>
  </si>
  <si>
    <t xml:space="preserve">Sal Dazzo</t>
  </si>
  <si>
    <t xml:space="preserve">Always Fishing</t>
  </si>
  <si>
    <t xml:space="preserve">Shane Ruiz</t>
  </si>
  <si>
    <t xml:space="preserve">Katherine Oyama</t>
  </si>
  <si>
    <t xml:space="preserve">Claire Tolan</t>
  </si>
  <si>
    <t xml:space="preserve">Rae MaxwellRoss</t>
  </si>
  <si>
    <t xml:space="preserve">Wesley Jackson</t>
  </si>
  <si>
    <t xml:space="preserve">Liz Morris</t>
  </si>
  <si>
    <t xml:space="preserve">Christina Spring</t>
  </si>
  <si>
    <t xml:space="preserve">Leif Martinson</t>
  </si>
  <si>
    <t xml:space="preserve">mayumi santos</t>
  </si>
  <si>
    <t xml:space="preserve">Henriette Klein</t>
  </si>
  <si>
    <t xml:space="preserve">Samantha Godoy</t>
  </si>
  <si>
    <t xml:space="preserve">NATASHA HOEHN</t>
  </si>
  <si>
    <t xml:space="preserve">Trinesha Walker</t>
  </si>
  <si>
    <t xml:space="preserve">Naomi Odean</t>
  </si>
  <si>
    <t xml:space="preserve">Jeff Gabriel</t>
  </si>
  <si>
    <t xml:space="preserve">Mrinal Wadhwa</t>
  </si>
  <si>
    <t xml:space="preserve">Bridget Guerra</t>
  </si>
  <si>
    <t xml:space="preserve">Adam Reilly</t>
  </si>
  <si>
    <t xml:space="preserve">Nate Frank</t>
  </si>
  <si>
    <t xml:space="preserve">Josh Taye</t>
  </si>
  <si>
    <t xml:space="preserve">ISHITA SAINI</t>
  </si>
  <si>
    <t xml:space="preserve">Katie Appel</t>
  </si>
  <si>
    <t xml:space="preserve">Jon Relyea</t>
  </si>
  <si>
    <t xml:space="preserve">Claire Kruse</t>
  </si>
  <si>
    <t xml:space="preserve">Angela Hobson</t>
  </si>
  <si>
    <t xml:space="preserve">Kristen Connell</t>
  </si>
  <si>
    <t xml:space="preserve">Jaeman Kim</t>
  </si>
  <si>
    <t xml:space="preserve">Ashley Simons</t>
  </si>
  <si>
    <t xml:space="preserve">Dayna Dennis</t>
  </si>
  <si>
    <t xml:space="preserve">Nicola Curtin</t>
  </si>
  <si>
    <t xml:space="preserve">Clarissa Doutherd</t>
  </si>
  <si>
    <t xml:space="preserve">Anna Bellomo</t>
  </si>
  <si>
    <t xml:space="preserve">Amy Cummings</t>
  </si>
  <si>
    <t xml:space="preserve">Kimberly Pfendler</t>
  </si>
  <si>
    <t xml:space="preserve">Elizabeth Fair</t>
  </si>
  <si>
    <t xml:space="preserve">David Watson</t>
  </si>
  <si>
    <t xml:space="preserve">CC Holland</t>
  </si>
  <si>
    <t xml:space="preserve">Tianna Paschel</t>
  </si>
  <si>
    <t xml:space="preserve">Allister Lindamood</t>
  </si>
  <si>
    <t xml:space="preserve">Kate Hanna</t>
  </si>
  <si>
    <t xml:space="preserve">Micha Mokrani</t>
  </si>
  <si>
    <t xml:space="preserve">Lucia Giannattasio</t>
  </si>
  <si>
    <t xml:space="preserve">David Glasebrook</t>
  </si>
  <si>
    <t xml:space="preserve">Sina Bari</t>
  </si>
  <si>
    <t xml:space="preserve">Briana Berger</t>
  </si>
  <si>
    <t xml:space="preserve">Keith Walewski</t>
  </si>
  <si>
    <t xml:space="preserve">Corey Seto</t>
  </si>
  <si>
    <t xml:space="preserve">dan bachelder</t>
  </si>
  <si>
    <t xml:space="preserve">Oscar Delgadillo</t>
  </si>
  <si>
    <t xml:space="preserve">Jennifer Helfrich</t>
  </si>
  <si>
    <t xml:space="preserve">DongNghi Huynh</t>
  </si>
  <si>
    <t xml:space="preserve">Lisa Bower</t>
  </si>
  <si>
    <t xml:space="preserve">Sarah Johnson</t>
  </si>
  <si>
    <t xml:space="preserve">Dani Black</t>
  </si>
  <si>
    <t xml:space="preserve">Jay Reid</t>
  </si>
  <si>
    <t xml:space="preserve">Corey Keller</t>
  </si>
  <si>
    <t xml:space="preserve">Kate Pruitt</t>
  </si>
  <si>
    <t xml:space="preserve">Brynn Almli</t>
  </si>
  <si>
    <t xml:space="preserve">Noel Russell</t>
  </si>
  <si>
    <t xml:space="preserve">Rosalie Odean</t>
  </si>
  <si>
    <t xml:space="preserve">Norah Nicholls</t>
  </si>
  <si>
    <t xml:space="preserve">Patti Birbigli</t>
  </si>
  <si>
    <t xml:space="preserve">Erin Colcord</t>
  </si>
  <si>
    <t xml:space="preserve">FULL MOON Acupuncture</t>
  </si>
  <si>
    <t xml:space="preserve">Olivia Rosaldo-Pratt</t>
  </si>
  <si>
    <t xml:space="preserve">Melissa Crouch</t>
  </si>
  <si>
    <t xml:space="preserve">Cosmin Radoi</t>
  </si>
  <si>
    <t xml:space="preserve">Sarah Berk</t>
  </si>
  <si>
    <t xml:space="preserve">Mike Quinlan</t>
  </si>
  <si>
    <t xml:space="preserve">Irene Atkins</t>
  </si>
  <si>
    <t xml:space="preserve">Rachel Lederman</t>
  </si>
  <si>
    <t xml:space="preserve">Eric Polk</t>
  </si>
  <si>
    <t xml:space="preserve">Sarah Seiter</t>
  </si>
  <si>
    <t xml:space="preserve">Nicole Gonzales</t>
  </si>
  <si>
    <t xml:space="preserve">Bronwyn Ayla</t>
  </si>
  <si>
    <t xml:space="preserve">Sarah Miorana</t>
  </si>
  <si>
    <t xml:space="preserve">Erin Lewis</t>
  </si>
  <si>
    <t xml:space="preserve">Beverly Greene</t>
  </si>
  <si>
    <t xml:space="preserve">Caitlin Ard</t>
  </si>
  <si>
    <t xml:space="preserve">Hannah Rosen</t>
  </si>
  <si>
    <t xml:space="preserve">Tess Smagorinsky</t>
  </si>
  <si>
    <t xml:space="preserve">Genevieve Davis</t>
  </si>
  <si>
    <t xml:space="preserve">Kalen Gleeson</t>
  </si>
  <si>
    <t xml:space="preserve">Lynn Richards</t>
  </si>
  <si>
    <t xml:space="preserve">Ashley Thompson</t>
  </si>
  <si>
    <t xml:space="preserve">Sarah Bseiso</t>
  </si>
  <si>
    <t xml:space="preserve">Kristina Femal</t>
  </si>
  <si>
    <t xml:space="preserve">Jackie Keliiaa</t>
  </si>
  <si>
    <t xml:space="preserve">Madeleine Stephens</t>
  </si>
  <si>
    <t xml:space="preserve">elvis kahoro</t>
  </si>
  <si>
    <t xml:space="preserve">Jacqueline McEvoy</t>
  </si>
  <si>
    <t xml:space="preserve">Joan Xie</t>
  </si>
  <si>
    <t xml:space="preserve">Christina Sullivan</t>
  </si>
  <si>
    <t xml:space="preserve">Andrew Westphal</t>
  </si>
  <si>
    <t xml:space="preserve">Lai-San Seto</t>
  </si>
  <si>
    <t xml:space="preserve">Cole Bridge</t>
  </si>
  <si>
    <t xml:space="preserve">Rita Hidalgo</t>
  </si>
  <si>
    <t xml:space="preserve">Michele Wilson</t>
  </si>
  <si>
    <t xml:space="preserve">Sophia Schwartz</t>
  </si>
  <si>
    <t xml:space="preserve">Paula Murphy</t>
  </si>
  <si>
    <t xml:space="preserve">Jacqueline Hart</t>
  </si>
  <si>
    <t xml:space="preserve">Shiva Ghose</t>
  </si>
  <si>
    <t xml:space="preserve">Jennifer Louie</t>
  </si>
  <si>
    <t xml:space="preserve">Erin Hadley</t>
  </si>
  <si>
    <t xml:space="preserve">Ida Friedman</t>
  </si>
  <si>
    <t xml:space="preserve">Janet Walker</t>
  </si>
  <si>
    <t xml:space="preserve">Toni Guidry</t>
  </si>
  <si>
    <t xml:space="preserve">Jenn Holloway</t>
  </si>
  <si>
    <t xml:space="preserve">Sabrina Moore</t>
  </si>
  <si>
    <t xml:space="preserve">Sandeep Vadivel</t>
  </si>
  <si>
    <t xml:space="preserve">Bianca Gandolfo</t>
  </si>
  <si>
    <t xml:space="preserve">Lisa Sturges</t>
  </si>
  <si>
    <t xml:space="preserve">Acacia Ross</t>
  </si>
  <si>
    <t xml:space="preserve">Akinyi Ajwang</t>
  </si>
  <si>
    <t xml:space="preserve">Kacy Robinson</t>
  </si>
  <si>
    <t xml:space="preserve">Robert Phillips</t>
  </si>
  <si>
    <t xml:space="preserve">Rabun Jones</t>
  </si>
  <si>
    <t xml:space="preserve">Stacy Kawula</t>
  </si>
  <si>
    <t xml:space="preserve">Erin MaloneShkurkin</t>
  </si>
  <si>
    <t xml:space="preserve">Bradley Perry</t>
  </si>
  <si>
    <t xml:space="preserve">B Curry</t>
  </si>
  <si>
    <t xml:space="preserve">Jessica Anderson</t>
  </si>
  <si>
    <t xml:space="preserve">Thomas Ellebie</t>
  </si>
  <si>
    <t xml:space="preserve">James Johnson</t>
  </si>
  <si>
    <t xml:space="preserve">Annie Reid</t>
  </si>
  <si>
    <t xml:space="preserve">Katy Digovich</t>
  </si>
  <si>
    <t xml:space="preserve">Christina Liebner</t>
  </si>
  <si>
    <t xml:space="preserve">Alex Kancov</t>
  </si>
  <si>
    <t xml:space="preserve">OAKLAND COMMUNITY</t>
  </si>
  <si>
    <t xml:space="preserve">Laurel Calsoni</t>
  </si>
  <si>
    <t xml:space="preserve">Katherine Rothschild</t>
  </si>
  <si>
    <t xml:space="preserve">Melissa Cook</t>
  </si>
  <si>
    <t xml:space="preserve">Maxime Pouvreau</t>
  </si>
  <si>
    <t xml:space="preserve">Dianne Millner</t>
  </si>
  <si>
    <t xml:space="preserve">Erin Valenzuela</t>
  </si>
  <si>
    <t xml:space="preserve">Erinn Nahid</t>
  </si>
  <si>
    <t xml:space="preserve">D'Auria's Children's Learning Center</t>
  </si>
  <si>
    <t xml:space="preserve">Nicholas Drummond</t>
  </si>
  <si>
    <t xml:space="preserve">Kidango - Hubbard Center</t>
  </si>
  <si>
    <t xml:space="preserve">Alia Phelps</t>
  </si>
  <si>
    <t xml:space="preserve">Chloe Krishnamurty</t>
  </si>
  <si>
    <t xml:space="preserve">Marjorie Westbrook</t>
  </si>
  <si>
    <t xml:space="preserve">Alice Baldridge</t>
  </si>
  <si>
    <t xml:space="preserve">Lala Harrison</t>
  </si>
  <si>
    <t xml:space="preserve">Ja'Naie Sinclair</t>
  </si>
  <si>
    <t xml:space="preserve">Allison Rose</t>
  </si>
  <si>
    <t xml:space="preserve">Lauren Mangla</t>
  </si>
  <si>
    <t xml:space="preserve">Sean Boyle</t>
  </si>
  <si>
    <t xml:space="preserve">Cassandra Massey</t>
  </si>
  <si>
    <t xml:space="preserve">William Reed</t>
  </si>
  <si>
    <t xml:space="preserve">Nico GarrettKraus</t>
  </si>
  <si>
    <t xml:space="preserve">Marilyn Waller</t>
  </si>
  <si>
    <t xml:space="preserve">Louella DeLosAngeles</t>
  </si>
  <si>
    <t xml:space="preserve">Andrea Dooley</t>
  </si>
  <si>
    <t xml:space="preserve">Laura Barry</t>
  </si>
  <si>
    <t xml:space="preserve">Hanne Jensen</t>
  </si>
  <si>
    <t xml:space="preserve">Vincent Bail</t>
  </si>
  <si>
    <t xml:space="preserve">Kidango - Toyon Center</t>
  </si>
  <si>
    <t xml:space="preserve">Dana Ross</t>
  </si>
  <si>
    <t xml:space="preserve">Paula Spiese</t>
  </si>
  <si>
    <t xml:space="preserve">Monica Alarcon</t>
  </si>
  <si>
    <t xml:space="preserve">Lindsea Brown</t>
  </si>
  <si>
    <t xml:space="preserve">Brinda Krishnan</t>
  </si>
  <si>
    <t xml:space="preserve">Wannee Lewis</t>
  </si>
  <si>
    <t xml:space="preserve">Wyn Lee</t>
  </si>
  <si>
    <t xml:space="preserve">TOTAL — Top 200</t>
  </si>
  <si>
    <t xml:space="preserve">April 2026 — Revenue scenarios (1 month)</t>
  </si>
  <si>
    <t xml:space="preserve">Comparing 4 scenarios against the April baseline</t>
  </si>
  <si>
    <t xml:space="preserve">(Aggregates — read-only)</t>
  </si>
  <si>
    <t xml:space="preserve">April total: orders</t>
  </si>
  <si>
    <t xml:space="preserve">April total: customers</t>
  </si>
  <si>
    <t xml:space="preserve">April total: bags</t>
  </si>
  <si>
    <t xml:space="preserve">April total: lbs</t>
  </si>
  <si>
    <t xml:space="preserve">April total: revenue</t>
  </si>
  <si>
    <t xml:space="preserve">Top 200: bags</t>
  </si>
  <si>
    <t xml:space="preserve">Top 200: lbs</t>
  </si>
  <si>
    <t xml:space="preserve">Top 200: revenue (current)</t>
  </si>
  <si>
    <t xml:space="preserve">Bottom 440: bags</t>
  </si>
  <si>
    <t xml:space="preserve">Bottom 440: lbs</t>
  </si>
  <si>
    <t xml:space="preserve">Bottom 440: revenue (current)</t>
  </si>
  <si>
    <t xml:space="preserve">Scenario comparison</t>
  </si>
  <si>
    <t xml:space="preserve">Metric</t>
  </si>
  <si>
    <t xml:space="preserve">A. Current</t>
  </si>
  <si>
    <t xml:space="preserve">B. New rate, no drop, no subs</t>
  </si>
  <si>
    <t xml:space="preserve">C. New rate, with drop, no subs</t>
  </si>
  <si>
    <t xml:space="preserve">D. CANNIBALIZATION (200 top subs)</t>
  </si>
  <si>
    <t xml:space="preserve">E. GROWTH (200 NEW subs)</t>
  </si>
  <si>
    <t xml:space="preserve">Notes</t>
  </si>
  <si>
    <t xml:space="preserve">Per-bag revenue from non-subs</t>
  </si>
  <si>
    <t xml:space="preserve">Bottom 440 in scenario D; everyone in C and E</t>
  </si>
  <si>
    <t xml:space="preserve">Subscription base revenue</t>
  </si>
  <si>
    <t xml:space="preserve">200 × $275 = $55,000/month</t>
  </si>
  <si>
    <t xml:space="preserve">Subscription overage revenue</t>
  </si>
  <si>
    <t xml:space="preserve">D: actual overage from top 200's April lbs; E: assumes new subs avg 50 lbs/mo</t>
  </si>
  <si>
    <t xml:space="preserve">TOTAL revenue</t>
  </si>
  <si>
    <t xml:space="preserve">vs Current — $</t>
  </si>
  <si>
    <t xml:space="preserve">vs Current — %</t>
  </si>
  <si>
    <t xml:space="preserve">Annualized (× 12)</t>
  </si>
  <si>
    <t xml:space="preserve">Rough projection — assumes April volume holds</t>
  </si>
  <si>
    <t xml:space="preserve">Sensitivity — revenue by volume drop %</t>
  </si>
  <si>
    <t xml:space="preserve">How does monthly revenue change at different volume-drop assumptions?</t>
  </si>
  <si>
    <t xml:space="preserve">Volume drop</t>
  </si>
  <si>
    <t xml:space="preserve">B. New rate (no drop)</t>
  </si>
  <si>
    <t xml:space="preserve">C. New rate + drop</t>
  </si>
  <si>
    <t xml:space="preserve">D. Cannibalization</t>
  </si>
  <si>
    <t xml:space="preserve">E. Growth</t>
  </si>
  <si>
    <t xml:space="preserve">A</t>
  </si>
  <si>
    <t xml:space="preserve">B</t>
  </si>
  <si>
    <t xml:space="preserve">C</t>
  </si>
  <si>
    <t xml:space="preserve">D</t>
  </si>
  <si>
    <t xml:space="preserve">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</si>
</sst>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\$* #,##0.00_-;[RED]&quot;-$&quot;* #,##0.00;_-\$* \-??_-"/>
    <numFmt numFmtId="166" formatCode="0.0%;[RED]\-0.0%;\-"/>
    <numFmt numFmtId="167" formatCode="#,##0"/>
    <numFmt numFmtId="168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color rgb="FF0F274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2744"/>
        <bgColor rgb="FF333333"/>
      </patternFill>
    </fill>
    <fill>
      <patternFill patternType="solid">
        <fgColor rgb="FFDBEAFE"/>
        <bgColor rgb="FFF3F4F6"/>
      </patternFill>
    </fill>
    <fill>
      <patternFill patternType="solid">
        <fgColor rgb="FF3B82F6"/>
        <bgColor rgb="FF0066CC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/>
      <right/>
      <top style="medium">
        <color rgb="FF0F2744"/>
      </top>
      <bottom style="medium">
        <color rgb="FF0F27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F99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F9900"/>
      <rgbColor rgb="FFFF6600"/>
      <rgbColor rgb="FF666666"/>
      <rgbColor rgb="FF969696"/>
      <rgbColor rgb="FF0F27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8"/>
    <col collapsed="false" customWidth="true" hidden="false" outlineLevel="0" max="5" min="5" style="0" width="6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17.3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Scenarios!B22</f>
        <v>150152.25</v>
      </c>
      <c r="D5" s="2" t="s">
        <v>4</v>
      </c>
      <c r="E5" s="2" t="s">
        <v>5</v>
      </c>
    </row>
    <row r="6" customFormat="false" ht="15" hidden="false" customHeight="false" outlineLevel="0" collapsed="false">
      <c r="A6" s="4" t="s">
        <v>6</v>
      </c>
      <c r="B6" s="5" t="n">
        <f aca="false">Scenarios!C22</f>
        <v>163514.25</v>
      </c>
      <c r="C6" s="6" t="n">
        <f aca="false">Scenarios!C24</f>
        <v>0.0889896754793884</v>
      </c>
      <c r="D6" s="2" t="s">
        <v>4</v>
      </c>
      <c r="E6" s="2" t="s">
        <v>7</v>
      </c>
    </row>
    <row r="7" customFormat="false" ht="15" hidden="false" customHeight="false" outlineLevel="0" collapsed="false">
      <c r="A7" s="4" t="s">
        <v>8</v>
      </c>
      <c r="B7" s="5" t="n">
        <f aca="false">Scenarios!D22</f>
        <v>163514.25</v>
      </c>
      <c r="C7" s="6" t="n">
        <f aca="false">Scenarios!D24</f>
        <v>0.0889896754793884</v>
      </c>
      <c r="D7" s="2" t="s">
        <v>4</v>
      </c>
      <c r="E7" s="2" t="s">
        <v>9</v>
      </c>
    </row>
    <row r="8" customFormat="false" ht="15" hidden="false" customHeight="false" outlineLevel="0" collapsed="false">
      <c r="A8" s="4" t="s">
        <v>10</v>
      </c>
      <c r="B8" s="5" t="n">
        <f aca="false">Scenarios!E22</f>
        <v>148518.2</v>
      </c>
      <c r="C8" s="6" t="n">
        <f aca="false">Scenarios!E24</f>
        <v>-0.0108826208065479</v>
      </c>
      <c r="D8" s="2" t="s">
        <v>4</v>
      </c>
      <c r="E8" s="2" t="s">
        <v>11</v>
      </c>
    </row>
    <row r="9" customFormat="false" ht="15" hidden="false" customHeight="false" outlineLevel="0" collapsed="false">
      <c r="A9" s="4" t="s">
        <v>12</v>
      </c>
      <c r="B9" s="5" t="n">
        <f aca="false">Scenarios!F22</f>
        <v>218514.25</v>
      </c>
      <c r="C9" s="6" t="n">
        <f aca="false">Scenarios!F24</f>
        <v>0.455284552845529</v>
      </c>
      <c r="D9" s="2" t="s">
        <v>4</v>
      </c>
      <c r="E9" s="2" t="s">
        <v>13</v>
      </c>
    </row>
    <row r="12" customFormat="false" ht="17.35" hidden="false" customHeight="false" outlineLevel="0" collapsed="false">
      <c r="A12" s="3" t="s">
        <v>14</v>
      </c>
    </row>
    <row r="13" customFormat="false" ht="15" hidden="false" customHeight="false" outlineLevel="0" collapsed="false">
      <c r="A13" s="7" t="s">
        <v>15</v>
      </c>
      <c r="B13" s="5" t="n">
        <f aca="false">Scenarios!B26</f>
        <v>1801827</v>
      </c>
      <c r="D13" s="2" t="s">
        <v>16</v>
      </c>
    </row>
    <row r="14" customFormat="false" ht="15" hidden="false" customHeight="false" outlineLevel="0" collapsed="false">
      <c r="A14" s="7" t="s">
        <v>17</v>
      </c>
      <c r="B14" s="5" t="n">
        <f aca="false">Scenarios!C26</f>
        <v>1962171</v>
      </c>
      <c r="C14" s="5" t="n">
        <f aca="false">Scenarios!C26-Scenarios!B26</f>
        <v>160344</v>
      </c>
      <c r="D14" s="2" t="s">
        <v>18</v>
      </c>
    </row>
    <row r="15" customFormat="false" ht="15" hidden="false" customHeight="false" outlineLevel="0" collapsed="false">
      <c r="A15" s="7" t="s">
        <v>19</v>
      </c>
      <c r="B15" s="5" t="n">
        <f aca="false">Scenarios!D26</f>
        <v>1962171</v>
      </c>
      <c r="C15" s="5" t="n">
        <f aca="false">Scenarios!D26-Scenarios!B26</f>
        <v>160344</v>
      </c>
      <c r="D15" s="2" t="s">
        <v>18</v>
      </c>
    </row>
    <row r="16" customFormat="false" ht="15" hidden="false" customHeight="false" outlineLevel="0" collapsed="false">
      <c r="A16" s="7" t="s">
        <v>20</v>
      </c>
      <c r="B16" s="5" t="n">
        <f aca="false">Scenarios!E26</f>
        <v>1782218.4</v>
      </c>
      <c r="C16" s="5" t="n">
        <f aca="false">Scenarios!E26-Scenarios!B26</f>
        <v>-19608.5999999999</v>
      </c>
      <c r="D16" s="2" t="s">
        <v>18</v>
      </c>
    </row>
    <row r="17" customFormat="false" ht="15" hidden="false" customHeight="false" outlineLevel="0" collapsed="false">
      <c r="A17" s="7" t="s">
        <v>21</v>
      </c>
      <c r="B17" s="5" t="n">
        <f aca="false">Scenarios!F26</f>
        <v>2622171</v>
      </c>
      <c r="C17" s="5" t="n">
        <f aca="false">Scenarios!F26-Scenarios!B26</f>
        <v>820344</v>
      </c>
      <c r="D17" s="2" t="s">
        <v>18</v>
      </c>
    </row>
    <row r="20" customFormat="false" ht="17.35" hidden="false" customHeight="false" outlineLevel="0" collapsed="false">
      <c r="A20" s="3" t="s">
        <v>22</v>
      </c>
    </row>
    <row r="21" customFormat="false" ht="15" hidden="false" customHeight="false" outlineLevel="0" collapsed="false">
      <c r="A21" s="4" t="s">
        <v>23</v>
      </c>
    </row>
    <row r="22" customFormat="false" ht="60" hidden="false" customHeight="true" outlineLevel="0" collapsed="false">
      <c r="A22" s="8" t="s">
        <v>24</v>
      </c>
      <c r="B22" s="8"/>
      <c r="C22" s="8"/>
      <c r="D22" s="8"/>
      <c r="E22" s="8"/>
    </row>
    <row r="24" customFormat="false" ht="15" hidden="false" customHeight="false" outlineLevel="0" collapsed="false">
      <c r="A24" s="4" t="s">
        <v>25</v>
      </c>
    </row>
    <row r="25" customFormat="false" ht="60" hidden="false" customHeight="true" outlineLevel="0" collapsed="false">
      <c r="A25" s="8" t="s">
        <v>26</v>
      </c>
      <c r="B25" s="8"/>
      <c r="C25" s="8"/>
      <c r="D25" s="8"/>
      <c r="E25" s="8"/>
    </row>
    <row r="27" customFormat="false" ht="15" hidden="false" customHeight="false" outlineLevel="0" collapsed="false">
      <c r="A27" s="4" t="s">
        <v>27</v>
      </c>
    </row>
    <row r="28" customFormat="false" ht="60" hidden="false" customHeight="true" outlineLevel="0" collapsed="false">
      <c r="A28" s="8" t="s">
        <v>28</v>
      </c>
      <c r="B28" s="8"/>
      <c r="C28" s="8"/>
      <c r="D28" s="8"/>
      <c r="E28" s="8"/>
    </row>
    <row r="30" customFormat="false" ht="15" hidden="false" customHeight="false" outlineLevel="0" collapsed="false">
      <c r="A30" s="4" t="s">
        <v>29</v>
      </c>
    </row>
    <row r="31" customFormat="false" ht="60" hidden="false" customHeight="true" outlineLevel="0" collapsed="false">
      <c r="A31" s="8" t="s">
        <v>30</v>
      </c>
      <c r="B31" s="8"/>
      <c r="C31" s="8"/>
      <c r="D31" s="8"/>
      <c r="E31" s="8"/>
    </row>
    <row r="33" customFormat="false" ht="15" hidden="false" customHeight="false" outlineLevel="0" collapsed="false">
      <c r="A33" s="4" t="s">
        <v>31</v>
      </c>
    </row>
    <row r="34" customFormat="false" ht="60" hidden="false" customHeight="true" outlineLevel="0" collapsed="false">
      <c r="A34" s="8" t="s">
        <v>32</v>
      </c>
      <c r="B34" s="8"/>
      <c r="C34" s="8"/>
      <c r="D34" s="8"/>
      <c r="E34" s="8"/>
    </row>
    <row r="37" customFormat="false" ht="17.35" hidden="false" customHeight="false" outlineLevel="0" collapsed="false">
      <c r="A37" s="3" t="s">
        <v>33</v>
      </c>
    </row>
    <row r="38" customFormat="false" ht="37.5" hidden="false" customHeight="true" outlineLevel="0" collapsed="false">
      <c r="A38" s="8" t="s">
        <v>34</v>
      </c>
      <c r="B38" s="8"/>
      <c r="C38" s="8"/>
      <c r="D38" s="8"/>
      <c r="E38" s="8"/>
    </row>
    <row r="39" customFormat="false" ht="37.5" hidden="false" customHeight="true" outlineLevel="0" collapsed="false">
      <c r="A39" s="8" t="s">
        <v>35</v>
      </c>
      <c r="B39" s="8"/>
      <c r="C39" s="8"/>
      <c r="D39" s="8"/>
      <c r="E39" s="8"/>
    </row>
    <row r="40" customFormat="false" ht="37.5" hidden="false" customHeight="true" outlineLevel="0" collapsed="false">
      <c r="A40" s="8" t="s">
        <v>36</v>
      </c>
      <c r="B40" s="8"/>
      <c r="C40" s="8"/>
      <c r="D40" s="8"/>
      <c r="E40" s="8"/>
    </row>
    <row r="41" customFormat="false" ht="37.5" hidden="false" customHeight="true" outlineLevel="0" collapsed="false">
      <c r="A41" s="8" t="s">
        <v>37</v>
      </c>
      <c r="B41" s="8"/>
      <c r="C41" s="8"/>
      <c r="D41" s="8"/>
      <c r="E41" s="8"/>
    </row>
    <row r="42" customFormat="false" ht="37.5" hidden="false" customHeight="true" outlineLevel="0" collapsed="false">
      <c r="A42" s="8" t="s">
        <v>38</v>
      </c>
      <c r="B42" s="8"/>
      <c r="C42" s="8"/>
      <c r="D42" s="8"/>
      <c r="E42" s="8"/>
    </row>
    <row r="43" customFormat="false" ht="37.5" hidden="false" customHeight="true" outlineLevel="0" collapsed="false">
      <c r="A43" s="8" t="s">
        <v>39</v>
      </c>
      <c r="B43" s="8"/>
      <c r="C43" s="8"/>
      <c r="D43" s="8"/>
      <c r="E43" s="8"/>
    </row>
  </sheetData>
  <mergeCells count="12">
    <mergeCell ref="A1:E1"/>
    <mergeCell ref="A22:E22"/>
    <mergeCell ref="A25:E25"/>
    <mergeCell ref="A28:E28"/>
    <mergeCell ref="A31:E31"/>
    <mergeCell ref="A34:E34"/>
    <mergeCell ref="A38:E38"/>
    <mergeCell ref="A39:E39"/>
    <mergeCell ref="A40:E40"/>
    <mergeCell ref="A41:E41"/>
    <mergeCell ref="A42:E42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31.5" hidden="false" customHeight="true" outlineLevel="0" collapsed="false">
      <c r="A1" s="1" t="s">
        <v>40</v>
      </c>
      <c r="B1" s="1"/>
      <c r="C1" s="1"/>
    </row>
    <row r="3" customFormat="false" ht="15" hidden="false" customHeight="false" outlineLevel="0" collapsed="false">
      <c r="A3" s="4" t="s">
        <v>41</v>
      </c>
    </row>
    <row r="4" customFormat="false" ht="15" hidden="false" customHeight="false" outlineLevel="0" collapsed="false">
      <c r="A4" s="4" t="s">
        <v>42</v>
      </c>
      <c r="B4" s="9" t="s">
        <v>43</v>
      </c>
      <c r="C4" s="2" t="s">
        <v>44</v>
      </c>
    </row>
    <row r="5" customFormat="false" ht="15" hidden="false" customHeight="false" outlineLevel="0" collapsed="false">
      <c r="A5" s="4" t="s">
        <v>45</v>
      </c>
      <c r="B5" s="10" t="n">
        <v>1</v>
      </c>
      <c r="C5" s="2" t="s">
        <v>46</v>
      </c>
    </row>
    <row r="6" customFormat="false" ht="15" hidden="false" customHeight="false" outlineLevel="0" collapsed="false">
      <c r="A6" s="7"/>
    </row>
    <row r="7" customFormat="false" ht="15" hidden="false" customHeight="false" outlineLevel="0" collapsed="false">
      <c r="A7" s="4" t="s">
        <v>47</v>
      </c>
      <c r="B7" s="11" t="n">
        <v>59</v>
      </c>
      <c r="C7" s="2" t="s">
        <v>48</v>
      </c>
    </row>
    <row r="8" customFormat="false" ht="15" hidden="false" customHeight="false" outlineLevel="0" collapsed="false">
      <c r="A8" s="4" t="s">
        <v>49</v>
      </c>
      <c r="B8" s="10" t="n">
        <v>25</v>
      </c>
      <c r="C8" s="2" t="s">
        <v>50</v>
      </c>
    </row>
    <row r="9" customFormat="false" ht="15" hidden="false" customHeight="false" outlineLevel="0" collapsed="false">
      <c r="A9" s="4" t="s">
        <v>51</v>
      </c>
      <c r="B9" s="11" t="n">
        <v>3</v>
      </c>
      <c r="C9" s="2" t="s">
        <v>52</v>
      </c>
    </row>
    <row r="10" customFormat="false" ht="15" hidden="false" customHeight="false" outlineLevel="0" collapsed="false">
      <c r="A10" s="4" t="s">
        <v>53</v>
      </c>
      <c r="B10" s="11" t="n">
        <v>9.95</v>
      </c>
      <c r="C10" s="2" t="s">
        <v>54</v>
      </c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4" t="s">
        <v>55</v>
      </c>
      <c r="B12" s="11" t="n">
        <v>65</v>
      </c>
      <c r="C12" s="2" t="s">
        <v>56</v>
      </c>
    </row>
    <row r="13" customFormat="false" ht="15" hidden="false" customHeight="false" outlineLevel="0" collapsed="false">
      <c r="A13" s="4" t="s">
        <v>57</v>
      </c>
      <c r="B13" s="10" t="n">
        <v>25</v>
      </c>
      <c r="C13" s="2" t="s">
        <v>58</v>
      </c>
    </row>
    <row r="14" customFormat="false" ht="15" hidden="false" customHeight="false" outlineLevel="0" collapsed="false">
      <c r="A14" s="4" t="s">
        <v>59</v>
      </c>
      <c r="B14" s="11" t="n">
        <v>3</v>
      </c>
      <c r="C14" s="2" t="s">
        <v>58</v>
      </c>
    </row>
    <row r="15" customFormat="false" ht="15" hidden="false" customHeight="false" outlineLevel="0" collapsed="false">
      <c r="A15" s="4" t="s">
        <v>60</v>
      </c>
      <c r="B15" s="11" t="n">
        <v>9.95</v>
      </c>
      <c r="C15" s="2" t="s">
        <v>58</v>
      </c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4" t="s">
        <v>61</v>
      </c>
      <c r="B17" s="11" t="n">
        <v>275</v>
      </c>
      <c r="C17" s="2" t="s">
        <v>62</v>
      </c>
    </row>
    <row r="18" customFormat="false" ht="15" hidden="false" customHeight="false" outlineLevel="0" collapsed="false">
      <c r="A18" s="4" t="s">
        <v>63</v>
      </c>
      <c r="B18" s="10" t="n">
        <v>100</v>
      </c>
      <c r="C18" s="2" t="s">
        <v>64</v>
      </c>
    </row>
    <row r="19" customFormat="false" ht="15" hidden="false" customHeight="false" outlineLevel="0" collapsed="false">
      <c r="A19" s="4" t="s">
        <v>65</v>
      </c>
      <c r="B19" s="11" t="n">
        <v>3</v>
      </c>
      <c r="C19" s="2" t="s">
        <v>66</v>
      </c>
    </row>
    <row r="20" customFormat="false" ht="15" hidden="false" customHeight="false" outlineLevel="0" collapsed="false">
      <c r="A20" s="7"/>
    </row>
    <row r="21" customFormat="false" ht="15" hidden="false" customHeight="false" outlineLevel="0" collapsed="false">
      <c r="A21" s="4" t="s">
        <v>67</v>
      </c>
      <c r="B21" s="12" t="n">
        <v>0</v>
      </c>
      <c r="C21" s="2" t="s">
        <v>68</v>
      </c>
    </row>
    <row r="22" customFormat="false" ht="15" hidden="false" customHeight="false" outlineLevel="0" collapsed="false">
      <c r="A22" s="4" t="s">
        <v>69</v>
      </c>
      <c r="B22" s="10" t="n">
        <v>200</v>
      </c>
      <c r="C22" s="2" t="s">
        <v>70</v>
      </c>
    </row>
    <row r="24" customFormat="false" ht="15" hidden="false" customHeight="false" outlineLevel="0" collapsed="false">
      <c r="A24" s="4" t="s">
        <v>71</v>
      </c>
    </row>
    <row r="25" customFormat="false" ht="15" hidden="false" customHeight="false" outlineLevel="0" collapsed="false">
      <c r="A25" s="13" t="s">
        <v>72</v>
      </c>
    </row>
    <row r="26" customFormat="false" ht="15" hidden="false" customHeight="false" outlineLevel="0" collapsed="false">
      <c r="A26" s="14" t="s">
        <v>73</v>
      </c>
    </row>
    <row r="27" customFormat="false" ht="15" hidden="false" customHeight="false" outlineLevel="0" collapsed="false">
      <c r="A27" s="15" t="s">
        <v>74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14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76</v>
      </c>
    </row>
    <row r="4" customFormat="false" ht="30" hidden="false" customHeight="true" outlineLevel="0" collapsed="false">
      <c r="A4" s="16" t="s">
        <v>77</v>
      </c>
      <c r="B4" s="16" t="s">
        <v>78</v>
      </c>
      <c r="C4" s="16" t="s">
        <v>79</v>
      </c>
      <c r="D4" s="16" t="s">
        <v>80</v>
      </c>
      <c r="E4" s="16" t="s">
        <v>81</v>
      </c>
      <c r="F4" s="16" t="s">
        <v>82</v>
      </c>
      <c r="G4" s="16" t="s">
        <v>83</v>
      </c>
      <c r="H4" s="16" t="s">
        <v>84</v>
      </c>
      <c r="I4" s="16" t="s">
        <v>85</v>
      </c>
      <c r="J4" s="16" t="s">
        <v>86</v>
      </c>
      <c r="K4" s="16" t="s">
        <v>87</v>
      </c>
      <c r="L4" s="16" t="s">
        <v>88</v>
      </c>
    </row>
    <row r="5" customFormat="false" ht="15" hidden="false" customHeight="false" outlineLevel="0" collapsed="false">
      <c r="A5" s="7" t="n">
        <v>1</v>
      </c>
      <c r="B5" s="7" t="s">
        <v>89</v>
      </c>
      <c r="C5" s="17" t="n">
        <v>2</v>
      </c>
      <c r="D5" s="17" t="n">
        <v>35</v>
      </c>
      <c r="E5" s="18" t="n">
        <v>506</v>
      </c>
      <c r="F5" s="19" t="n">
        <v>2084.9</v>
      </c>
      <c r="G5" s="19" t="n">
        <f aca="false">D5*(new_rate-cur_rate)</f>
        <v>210</v>
      </c>
      <c r="H5" s="19" t="n">
        <f aca="false">F5+G5</f>
        <v>2294.9</v>
      </c>
      <c r="I5" s="19" t="n">
        <f aca="false">sub_fee</f>
        <v>275</v>
      </c>
      <c r="J5" s="19" t="n">
        <f aca="false">MAX(0, E5-sub_lbs)*sub_overage</f>
        <v>1218</v>
      </c>
      <c r="K5" s="19" t="n">
        <f aca="false">I5+J5</f>
        <v>1493</v>
      </c>
      <c r="L5" s="20" t="str">
        <f aca="false">IF(K5&lt;H5,"Yes — saves $"&amp;TEXT(H5-K5,"0"),"No")</f>
        <v>Yes — saves $802</v>
      </c>
    </row>
    <row r="6" customFormat="false" ht="15" hidden="false" customHeight="false" outlineLevel="0" collapsed="false">
      <c r="A6" s="7" t="n">
        <v>2</v>
      </c>
      <c r="B6" s="7" t="s">
        <v>90</v>
      </c>
      <c r="C6" s="17" t="n">
        <v>4</v>
      </c>
      <c r="D6" s="17" t="n">
        <v>16</v>
      </c>
      <c r="E6" s="18" t="n">
        <v>432</v>
      </c>
      <c r="F6" s="19" t="n">
        <v>1079.8</v>
      </c>
      <c r="G6" s="19" t="n">
        <f aca="false">D6*(new_rate-cur_rate)</f>
        <v>96</v>
      </c>
      <c r="H6" s="19" t="n">
        <f aca="false">F6+G6</f>
        <v>1175.8</v>
      </c>
      <c r="I6" s="19" t="n">
        <f aca="false">sub_fee</f>
        <v>275</v>
      </c>
      <c r="J6" s="19" t="n">
        <f aca="false">MAX(0, E6-sub_lbs)*sub_overage</f>
        <v>996</v>
      </c>
      <c r="K6" s="19" t="n">
        <f aca="false">I6+J6</f>
        <v>1271</v>
      </c>
      <c r="L6" s="20" t="str">
        <f aca="false">IF(K6&lt;H6,"Yes — saves $"&amp;TEXT(H6-K6,"0"),"No")</f>
        <v>No</v>
      </c>
    </row>
    <row r="7" customFormat="false" ht="15" hidden="false" customHeight="false" outlineLevel="0" collapsed="false">
      <c r="A7" s="7" t="n">
        <v>3</v>
      </c>
      <c r="B7" s="7" t="s">
        <v>91</v>
      </c>
      <c r="C7" s="17" t="n">
        <v>9</v>
      </c>
      <c r="D7" s="17" t="n">
        <v>22</v>
      </c>
      <c r="E7" s="18" t="n">
        <v>399</v>
      </c>
      <c r="F7" s="19" t="n">
        <v>1367.55</v>
      </c>
      <c r="G7" s="19" t="n">
        <f aca="false">D7*(new_rate-cur_rate)</f>
        <v>132</v>
      </c>
      <c r="H7" s="19" t="n">
        <f aca="false">F7+G7</f>
        <v>1499.55</v>
      </c>
      <c r="I7" s="19" t="n">
        <f aca="false">sub_fee</f>
        <v>275</v>
      </c>
      <c r="J7" s="19" t="n">
        <f aca="false">MAX(0, E7-sub_lbs)*sub_overage</f>
        <v>897</v>
      </c>
      <c r="K7" s="19" t="n">
        <f aca="false">I7+J7</f>
        <v>1172</v>
      </c>
      <c r="L7" s="20" t="str">
        <f aca="false">IF(K7&lt;H7,"Yes — saves $"&amp;TEXT(H7-K7,"0"),"No")</f>
        <v>Yes — saves $328</v>
      </c>
    </row>
    <row r="8" customFormat="false" ht="15" hidden="false" customHeight="false" outlineLevel="0" collapsed="false">
      <c r="A8" s="7" t="n">
        <v>4</v>
      </c>
      <c r="B8" s="7" t="s">
        <v>92</v>
      </c>
      <c r="C8" s="17" t="n">
        <v>4</v>
      </c>
      <c r="D8" s="17" t="n">
        <v>31</v>
      </c>
      <c r="E8" s="18" t="n">
        <v>341</v>
      </c>
      <c r="F8" s="19" t="n">
        <v>1262.95</v>
      </c>
      <c r="G8" s="19" t="n">
        <f aca="false">D8*(new_rate-cur_rate)</f>
        <v>186</v>
      </c>
      <c r="H8" s="19" t="n">
        <f aca="false">F8+G8</f>
        <v>1448.95</v>
      </c>
      <c r="I8" s="19" t="n">
        <f aca="false">sub_fee</f>
        <v>275</v>
      </c>
      <c r="J8" s="19" t="n">
        <f aca="false">MAX(0, E8-sub_lbs)*sub_overage</f>
        <v>723</v>
      </c>
      <c r="K8" s="19" t="n">
        <f aca="false">I8+J8</f>
        <v>998</v>
      </c>
      <c r="L8" s="20" t="str">
        <f aca="false">IF(K8&lt;H8,"Yes — saves $"&amp;TEXT(H8-K8,"0"),"No")</f>
        <v>Yes — saves $451</v>
      </c>
    </row>
    <row r="9" customFormat="false" ht="15" hidden="false" customHeight="false" outlineLevel="0" collapsed="false">
      <c r="A9" s="7" t="n">
        <v>5</v>
      </c>
      <c r="B9" s="7" t="s">
        <v>93</v>
      </c>
      <c r="C9" s="17" t="n">
        <v>5</v>
      </c>
      <c r="D9" s="17" t="n">
        <v>17</v>
      </c>
      <c r="E9" s="18" t="n">
        <v>328</v>
      </c>
      <c r="F9" s="19" t="n">
        <v>1032.75</v>
      </c>
      <c r="G9" s="19" t="n">
        <f aca="false">D9*(new_rate-cur_rate)</f>
        <v>102</v>
      </c>
      <c r="H9" s="19" t="n">
        <f aca="false">F9+G9</f>
        <v>1134.75</v>
      </c>
      <c r="I9" s="19" t="n">
        <f aca="false">sub_fee</f>
        <v>275</v>
      </c>
      <c r="J9" s="19" t="n">
        <f aca="false">MAX(0, E9-sub_lbs)*sub_overage</f>
        <v>684</v>
      </c>
      <c r="K9" s="19" t="n">
        <f aca="false">I9+J9</f>
        <v>959</v>
      </c>
      <c r="L9" s="20" t="str">
        <f aca="false">IF(K9&lt;H9,"Yes — saves $"&amp;TEXT(H9-K9,"0"),"No")</f>
        <v>Yes — saves $176</v>
      </c>
    </row>
    <row r="10" customFormat="false" ht="15" hidden="false" customHeight="false" outlineLevel="0" collapsed="false">
      <c r="A10" s="7" t="n">
        <v>6</v>
      </c>
      <c r="B10" s="7" t="s">
        <v>94</v>
      </c>
      <c r="C10" s="17" t="n">
        <v>3</v>
      </c>
      <c r="D10" s="17" t="n">
        <v>17</v>
      </c>
      <c r="E10" s="18" t="n">
        <v>309</v>
      </c>
      <c r="F10" s="19" t="n">
        <v>481.95</v>
      </c>
      <c r="G10" s="19" t="n">
        <f aca="false">D10*(new_rate-cur_rate)</f>
        <v>102</v>
      </c>
      <c r="H10" s="19" t="n">
        <f aca="false">F10+G10</f>
        <v>583.95</v>
      </c>
      <c r="I10" s="19" t="n">
        <f aca="false">sub_fee</f>
        <v>275</v>
      </c>
      <c r="J10" s="19" t="n">
        <f aca="false">MAX(0, E10-sub_lbs)*sub_overage</f>
        <v>627</v>
      </c>
      <c r="K10" s="19" t="n">
        <f aca="false">I10+J10</f>
        <v>902</v>
      </c>
      <c r="L10" s="20" t="str">
        <f aca="false">IF(K10&lt;H10,"Yes — saves $"&amp;TEXT(H10-K10,"0"),"No")</f>
        <v>No</v>
      </c>
    </row>
    <row r="11" customFormat="false" ht="15" hidden="false" customHeight="false" outlineLevel="0" collapsed="false">
      <c r="A11" s="7" t="n">
        <v>7</v>
      </c>
      <c r="B11" s="7" t="s">
        <v>95</v>
      </c>
      <c r="C11" s="17" t="n">
        <v>4</v>
      </c>
      <c r="D11" s="17" t="n">
        <v>11</v>
      </c>
      <c r="E11" s="18" t="n">
        <v>277</v>
      </c>
      <c r="F11" s="19" t="n">
        <v>701.8</v>
      </c>
      <c r="G11" s="19" t="n">
        <f aca="false">D11*(new_rate-cur_rate)</f>
        <v>66</v>
      </c>
      <c r="H11" s="19" t="n">
        <f aca="false">F11+G11</f>
        <v>767.8</v>
      </c>
      <c r="I11" s="19" t="n">
        <f aca="false">sub_fee</f>
        <v>275</v>
      </c>
      <c r="J11" s="19" t="n">
        <f aca="false">MAX(0, E11-sub_lbs)*sub_overage</f>
        <v>531</v>
      </c>
      <c r="K11" s="19" t="n">
        <f aca="false">I11+J11</f>
        <v>806</v>
      </c>
      <c r="L11" s="20" t="str">
        <f aca="false">IF(K11&lt;H11,"Yes — saves $"&amp;TEXT(H11-K11,"0"),"No")</f>
        <v>No</v>
      </c>
    </row>
    <row r="12" customFormat="false" ht="15" hidden="false" customHeight="false" outlineLevel="0" collapsed="false">
      <c r="A12" s="7" t="n">
        <v>8</v>
      </c>
      <c r="B12" s="7" t="s">
        <v>96</v>
      </c>
      <c r="C12" s="17" t="n">
        <v>4</v>
      </c>
      <c r="D12" s="17" t="n">
        <v>12</v>
      </c>
      <c r="E12" s="18" t="n">
        <v>277</v>
      </c>
      <c r="F12" s="19" t="n">
        <v>745.8</v>
      </c>
      <c r="G12" s="19" t="n">
        <f aca="false">D12*(new_rate-cur_rate)</f>
        <v>72</v>
      </c>
      <c r="H12" s="19" t="n">
        <f aca="false">F12+G12</f>
        <v>817.8</v>
      </c>
      <c r="I12" s="19" t="n">
        <f aca="false">sub_fee</f>
        <v>275</v>
      </c>
      <c r="J12" s="19" t="n">
        <f aca="false">MAX(0, E12-sub_lbs)*sub_overage</f>
        <v>531</v>
      </c>
      <c r="K12" s="19" t="n">
        <f aca="false">I12+J12</f>
        <v>806</v>
      </c>
      <c r="L12" s="20" t="str">
        <f aca="false">IF(K12&lt;H12,"Yes — saves $"&amp;TEXT(H12-K12,"0"),"No")</f>
        <v>Yes — saves $12</v>
      </c>
    </row>
    <row r="13" customFormat="false" ht="15" hidden="false" customHeight="false" outlineLevel="0" collapsed="false">
      <c r="A13" s="7" t="n">
        <v>9</v>
      </c>
      <c r="B13" s="7" t="s">
        <v>97</v>
      </c>
      <c r="C13" s="17" t="n">
        <v>5</v>
      </c>
      <c r="D13" s="17" t="n">
        <v>19</v>
      </c>
      <c r="E13" s="18" t="n">
        <v>268</v>
      </c>
      <c r="F13" s="19" t="n">
        <v>1150.75</v>
      </c>
      <c r="G13" s="19" t="n">
        <f aca="false">D13*(new_rate-cur_rate)</f>
        <v>114</v>
      </c>
      <c r="H13" s="19" t="n">
        <f aca="false">F13+G13</f>
        <v>1264.75</v>
      </c>
      <c r="I13" s="19" t="n">
        <f aca="false">sub_fee</f>
        <v>275</v>
      </c>
      <c r="J13" s="19" t="n">
        <f aca="false">MAX(0, E13-sub_lbs)*sub_overage</f>
        <v>504</v>
      </c>
      <c r="K13" s="19" t="n">
        <f aca="false">I13+J13</f>
        <v>779</v>
      </c>
      <c r="L13" s="20" t="str">
        <f aca="false">IF(K13&lt;H13,"Yes — saves $"&amp;TEXT(H13-K13,"0"),"No")</f>
        <v>Yes — saves $486</v>
      </c>
    </row>
    <row r="14" customFormat="false" ht="15" hidden="false" customHeight="false" outlineLevel="0" collapsed="false">
      <c r="A14" s="7" t="n">
        <v>10</v>
      </c>
      <c r="B14" s="7" t="s">
        <v>98</v>
      </c>
      <c r="C14" s="17" t="n">
        <v>7</v>
      </c>
      <c r="D14" s="17" t="n">
        <v>14</v>
      </c>
      <c r="E14" s="18" t="n">
        <v>256</v>
      </c>
      <c r="F14" s="19" t="n">
        <v>875.65</v>
      </c>
      <c r="G14" s="19" t="n">
        <f aca="false">D14*(new_rate-cur_rate)</f>
        <v>84</v>
      </c>
      <c r="H14" s="19" t="n">
        <f aca="false">F14+G14</f>
        <v>959.65</v>
      </c>
      <c r="I14" s="19" t="n">
        <f aca="false">sub_fee</f>
        <v>275</v>
      </c>
      <c r="J14" s="19" t="n">
        <f aca="false">MAX(0, E14-sub_lbs)*sub_overage</f>
        <v>468</v>
      </c>
      <c r="K14" s="19" t="n">
        <f aca="false">I14+J14</f>
        <v>743</v>
      </c>
      <c r="L14" s="20" t="str">
        <f aca="false">IF(K14&lt;H14,"Yes — saves $"&amp;TEXT(H14-K14,"0"),"No")</f>
        <v>Yes — saves $217</v>
      </c>
    </row>
    <row r="15" customFormat="false" ht="15" hidden="false" customHeight="false" outlineLevel="0" collapsed="false">
      <c r="A15" s="7" t="n">
        <v>11</v>
      </c>
      <c r="B15" s="7" t="s">
        <v>99</v>
      </c>
      <c r="C15" s="17" t="n">
        <v>4</v>
      </c>
      <c r="D15" s="17" t="n">
        <v>9</v>
      </c>
      <c r="E15" s="18" t="n">
        <v>254</v>
      </c>
      <c r="F15" s="19" t="n">
        <v>598.8</v>
      </c>
      <c r="G15" s="19" t="n">
        <f aca="false">D15*(new_rate-cur_rate)</f>
        <v>54</v>
      </c>
      <c r="H15" s="19" t="n">
        <f aca="false">F15+G15</f>
        <v>652.8</v>
      </c>
      <c r="I15" s="19" t="n">
        <f aca="false">sub_fee</f>
        <v>275</v>
      </c>
      <c r="J15" s="19" t="n">
        <f aca="false">MAX(0, E15-sub_lbs)*sub_overage</f>
        <v>462</v>
      </c>
      <c r="K15" s="19" t="n">
        <f aca="false">I15+J15</f>
        <v>737</v>
      </c>
      <c r="L15" s="20" t="str">
        <f aca="false">IF(K15&lt;H15,"Yes — saves $"&amp;TEXT(H15-K15,"0"),"No")</f>
        <v>No</v>
      </c>
    </row>
    <row r="16" customFormat="false" ht="15" hidden="false" customHeight="false" outlineLevel="0" collapsed="false">
      <c r="A16" s="7" t="n">
        <v>12</v>
      </c>
      <c r="B16" s="7" t="s">
        <v>100</v>
      </c>
      <c r="C16" s="17" t="n">
        <v>4</v>
      </c>
      <c r="D16" s="17" t="n">
        <v>12</v>
      </c>
      <c r="E16" s="18" t="n">
        <v>250</v>
      </c>
      <c r="F16" s="19" t="n">
        <v>783.8</v>
      </c>
      <c r="G16" s="19" t="n">
        <f aca="false">D16*(new_rate-cur_rate)</f>
        <v>72</v>
      </c>
      <c r="H16" s="19" t="n">
        <f aca="false">F16+G16</f>
        <v>855.8</v>
      </c>
      <c r="I16" s="19" t="n">
        <f aca="false">sub_fee</f>
        <v>275</v>
      </c>
      <c r="J16" s="19" t="n">
        <f aca="false">MAX(0, E16-sub_lbs)*sub_overage</f>
        <v>450</v>
      </c>
      <c r="K16" s="19" t="n">
        <f aca="false">I16+J16</f>
        <v>725</v>
      </c>
      <c r="L16" s="20" t="str">
        <f aca="false">IF(K16&lt;H16,"Yes — saves $"&amp;TEXT(H16-K16,"0"),"No")</f>
        <v>Yes — saves $131</v>
      </c>
    </row>
    <row r="17" customFormat="false" ht="15" hidden="false" customHeight="false" outlineLevel="0" collapsed="false">
      <c r="A17" s="7" t="n">
        <v>13</v>
      </c>
      <c r="B17" s="7" t="s">
        <v>101</v>
      </c>
      <c r="C17" s="17" t="n">
        <v>10</v>
      </c>
      <c r="D17" s="17" t="n">
        <v>11</v>
      </c>
      <c r="E17" s="18" t="n">
        <v>244</v>
      </c>
      <c r="F17" s="19" t="n">
        <v>839.5</v>
      </c>
      <c r="G17" s="19" t="n">
        <f aca="false">D17*(new_rate-cur_rate)</f>
        <v>66</v>
      </c>
      <c r="H17" s="19" t="n">
        <f aca="false">F17+G17</f>
        <v>905.5</v>
      </c>
      <c r="I17" s="19" t="n">
        <f aca="false">sub_fee</f>
        <v>275</v>
      </c>
      <c r="J17" s="19" t="n">
        <f aca="false">MAX(0, E17-sub_lbs)*sub_overage</f>
        <v>432</v>
      </c>
      <c r="K17" s="19" t="n">
        <f aca="false">I17+J17</f>
        <v>707</v>
      </c>
      <c r="L17" s="20" t="str">
        <f aca="false">IF(K17&lt;H17,"Yes — saves $"&amp;TEXT(H17-K17,"0"),"No")</f>
        <v>Yes — saves $199</v>
      </c>
    </row>
    <row r="18" customFormat="false" ht="15" hidden="false" customHeight="false" outlineLevel="0" collapsed="false">
      <c r="A18" s="7" t="n">
        <v>14</v>
      </c>
      <c r="B18" s="7" t="s">
        <v>102</v>
      </c>
      <c r="C18" s="17" t="n">
        <v>5</v>
      </c>
      <c r="D18" s="17" t="n">
        <v>11</v>
      </c>
      <c r="E18" s="18" t="n">
        <v>244</v>
      </c>
      <c r="F18" s="19" t="n">
        <v>711.75</v>
      </c>
      <c r="G18" s="19" t="n">
        <f aca="false">D18*(new_rate-cur_rate)</f>
        <v>66</v>
      </c>
      <c r="H18" s="19" t="n">
        <f aca="false">F18+G18</f>
        <v>777.75</v>
      </c>
      <c r="I18" s="19" t="n">
        <f aca="false">sub_fee</f>
        <v>275</v>
      </c>
      <c r="J18" s="19" t="n">
        <f aca="false">MAX(0, E18-sub_lbs)*sub_overage</f>
        <v>432</v>
      </c>
      <c r="K18" s="19" t="n">
        <f aca="false">I18+J18</f>
        <v>707</v>
      </c>
      <c r="L18" s="20" t="str">
        <f aca="false">IF(K18&lt;H18,"Yes — saves $"&amp;TEXT(H18-K18,"0"),"No")</f>
        <v>Yes — saves $71</v>
      </c>
    </row>
    <row r="19" customFormat="false" ht="15" hidden="false" customHeight="false" outlineLevel="0" collapsed="false">
      <c r="A19" s="7" t="n">
        <v>15</v>
      </c>
      <c r="B19" s="7" t="s">
        <v>103</v>
      </c>
      <c r="C19" s="17" t="n">
        <v>2</v>
      </c>
      <c r="D19" s="17" t="n">
        <v>10</v>
      </c>
      <c r="E19" s="18" t="n">
        <v>243</v>
      </c>
      <c r="F19" s="19" t="n">
        <v>649.9</v>
      </c>
      <c r="G19" s="19" t="n">
        <f aca="false">D19*(new_rate-cur_rate)</f>
        <v>60</v>
      </c>
      <c r="H19" s="19" t="n">
        <f aca="false">F19+G19</f>
        <v>709.9</v>
      </c>
      <c r="I19" s="19" t="n">
        <f aca="false">sub_fee</f>
        <v>275</v>
      </c>
      <c r="J19" s="19" t="n">
        <f aca="false">MAX(0, E19-sub_lbs)*sub_overage</f>
        <v>429</v>
      </c>
      <c r="K19" s="19" t="n">
        <f aca="false">I19+J19</f>
        <v>704</v>
      </c>
      <c r="L19" s="20" t="str">
        <f aca="false">IF(K19&lt;H19,"Yes — saves $"&amp;TEXT(H19-K19,"0"),"No")</f>
        <v>Yes — saves $6</v>
      </c>
    </row>
    <row r="20" customFormat="false" ht="15" hidden="false" customHeight="false" outlineLevel="0" collapsed="false">
      <c r="A20" s="7" t="n">
        <v>16</v>
      </c>
      <c r="B20" s="7" t="s">
        <v>104</v>
      </c>
      <c r="C20" s="17" t="n">
        <v>5</v>
      </c>
      <c r="D20" s="17" t="n">
        <v>10</v>
      </c>
      <c r="E20" s="18" t="n">
        <v>240</v>
      </c>
      <c r="F20" s="19" t="n">
        <v>619.75</v>
      </c>
      <c r="G20" s="19" t="n">
        <f aca="false">D20*(new_rate-cur_rate)</f>
        <v>60</v>
      </c>
      <c r="H20" s="19" t="n">
        <f aca="false">F20+G20</f>
        <v>679.75</v>
      </c>
      <c r="I20" s="19" t="n">
        <f aca="false">sub_fee</f>
        <v>275</v>
      </c>
      <c r="J20" s="19" t="n">
        <f aca="false">MAX(0, E20-sub_lbs)*sub_overage</f>
        <v>420</v>
      </c>
      <c r="K20" s="19" t="n">
        <f aca="false">I20+J20</f>
        <v>695</v>
      </c>
      <c r="L20" s="20" t="str">
        <f aca="false">IF(K20&lt;H20,"Yes — saves $"&amp;TEXT(H20-K20,"0"),"No")</f>
        <v>No</v>
      </c>
    </row>
    <row r="21" customFormat="false" ht="15" hidden="false" customHeight="false" outlineLevel="0" collapsed="false">
      <c r="A21" s="7" t="n">
        <v>17</v>
      </c>
      <c r="B21" s="7" t="s">
        <v>105</v>
      </c>
      <c r="C21" s="17" t="n">
        <v>10</v>
      </c>
      <c r="D21" s="17" t="n">
        <v>11</v>
      </c>
      <c r="E21" s="18" t="n">
        <v>231</v>
      </c>
      <c r="F21" s="19" t="n">
        <v>763.5</v>
      </c>
      <c r="G21" s="19" t="n">
        <f aca="false">D21*(new_rate-cur_rate)</f>
        <v>66</v>
      </c>
      <c r="H21" s="19" t="n">
        <f aca="false">F21+G21</f>
        <v>829.5</v>
      </c>
      <c r="I21" s="19" t="n">
        <f aca="false">sub_fee</f>
        <v>275</v>
      </c>
      <c r="J21" s="19" t="n">
        <f aca="false">MAX(0, E21-sub_lbs)*sub_overage</f>
        <v>393</v>
      </c>
      <c r="K21" s="19" t="n">
        <f aca="false">I21+J21</f>
        <v>668</v>
      </c>
      <c r="L21" s="20" t="str">
        <f aca="false">IF(K21&lt;H21,"Yes — saves $"&amp;TEXT(H21-K21,"0"),"No")</f>
        <v>Yes — saves $162</v>
      </c>
    </row>
    <row r="22" customFormat="false" ht="15" hidden="false" customHeight="false" outlineLevel="0" collapsed="false">
      <c r="A22" s="7" t="n">
        <v>18</v>
      </c>
      <c r="B22" s="7" t="s">
        <v>106</v>
      </c>
      <c r="C22" s="17" t="n">
        <v>2</v>
      </c>
      <c r="D22" s="17" t="n">
        <v>7</v>
      </c>
      <c r="E22" s="18" t="n">
        <v>229</v>
      </c>
      <c r="F22" s="19" t="n">
        <v>615.9</v>
      </c>
      <c r="G22" s="19" t="n">
        <f aca="false">D22*(new_rate-cur_rate)</f>
        <v>42</v>
      </c>
      <c r="H22" s="19" t="n">
        <f aca="false">F22+G22</f>
        <v>657.9</v>
      </c>
      <c r="I22" s="19" t="n">
        <f aca="false">sub_fee</f>
        <v>275</v>
      </c>
      <c r="J22" s="19" t="n">
        <f aca="false">MAX(0, E22-sub_lbs)*sub_overage</f>
        <v>387</v>
      </c>
      <c r="K22" s="19" t="n">
        <f aca="false">I22+J22</f>
        <v>662</v>
      </c>
      <c r="L22" s="20" t="str">
        <f aca="false">IF(K22&lt;H22,"Yes — saves $"&amp;TEXT(H22-K22,"0"),"No")</f>
        <v>No</v>
      </c>
    </row>
    <row r="23" customFormat="false" ht="15" hidden="false" customHeight="false" outlineLevel="0" collapsed="false">
      <c r="A23" s="7" t="n">
        <v>19</v>
      </c>
      <c r="B23" s="7" t="s">
        <v>107</v>
      </c>
      <c r="C23" s="17" t="n">
        <v>4</v>
      </c>
      <c r="D23" s="17" t="n">
        <v>9</v>
      </c>
      <c r="E23" s="18" t="n">
        <v>227</v>
      </c>
      <c r="F23" s="19" t="n">
        <v>663.8</v>
      </c>
      <c r="G23" s="19" t="n">
        <f aca="false">D23*(new_rate-cur_rate)</f>
        <v>54</v>
      </c>
      <c r="H23" s="19" t="n">
        <f aca="false">F23+G23</f>
        <v>717.8</v>
      </c>
      <c r="I23" s="19" t="n">
        <f aca="false">sub_fee</f>
        <v>275</v>
      </c>
      <c r="J23" s="19" t="n">
        <f aca="false">MAX(0, E23-sub_lbs)*sub_overage</f>
        <v>381</v>
      </c>
      <c r="K23" s="19" t="n">
        <f aca="false">I23+J23</f>
        <v>656</v>
      </c>
      <c r="L23" s="20" t="str">
        <f aca="false">IF(K23&lt;H23,"Yes — saves $"&amp;TEXT(H23-K23,"0"),"No")</f>
        <v>Yes — saves $62</v>
      </c>
    </row>
    <row r="24" customFormat="false" ht="15" hidden="false" customHeight="false" outlineLevel="0" collapsed="false">
      <c r="A24" s="7" t="n">
        <v>20</v>
      </c>
      <c r="B24" s="7" t="s">
        <v>108</v>
      </c>
      <c r="C24" s="17" t="n">
        <v>4</v>
      </c>
      <c r="D24" s="17" t="n">
        <v>9</v>
      </c>
      <c r="E24" s="18" t="n">
        <v>224</v>
      </c>
      <c r="F24" s="19" t="n">
        <v>600.8</v>
      </c>
      <c r="G24" s="19" t="n">
        <f aca="false">D24*(new_rate-cur_rate)</f>
        <v>54</v>
      </c>
      <c r="H24" s="19" t="n">
        <f aca="false">F24+G24</f>
        <v>654.8</v>
      </c>
      <c r="I24" s="19" t="n">
        <f aca="false">sub_fee</f>
        <v>275</v>
      </c>
      <c r="J24" s="19" t="n">
        <f aca="false">MAX(0, E24-sub_lbs)*sub_overage</f>
        <v>372</v>
      </c>
      <c r="K24" s="19" t="n">
        <f aca="false">I24+J24</f>
        <v>647</v>
      </c>
      <c r="L24" s="20" t="str">
        <f aca="false">IF(K24&lt;H24,"Yes — saves $"&amp;TEXT(H24-K24,"0"),"No")</f>
        <v>Yes — saves $8</v>
      </c>
    </row>
    <row r="25" customFormat="false" ht="15" hidden="false" customHeight="false" outlineLevel="0" collapsed="false">
      <c r="A25" s="7" t="n">
        <v>21</v>
      </c>
      <c r="B25" s="7" t="s">
        <v>109</v>
      </c>
      <c r="C25" s="17" t="n">
        <v>4</v>
      </c>
      <c r="D25" s="17" t="n">
        <v>10</v>
      </c>
      <c r="E25" s="18" t="n">
        <v>213</v>
      </c>
      <c r="F25" s="19" t="n">
        <v>636.1</v>
      </c>
      <c r="G25" s="19" t="n">
        <f aca="false">D25*(new_rate-cur_rate)</f>
        <v>60</v>
      </c>
      <c r="H25" s="19" t="n">
        <f aca="false">F25+G25</f>
        <v>696.1</v>
      </c>
      <c r="I25" s="19" t="n">
        <f aca="false">sub_fee</f>
        <v>275</v>
      </c>
      <c r="J25" s="19" t="n">
        <f aca="false">MAX(0, E25-sub_lbs)*sub_overage</f>
        <v>339</v>
      </c>
      <c r="K25" s="19" t="n">
        <f aca="false">I25+J25</f>
        <v>614</v>
      </c>
      <c r="L25" s="20" t="str">
        <f aca="false">IF(K25&lt;H25,"Yes — saves $"&amp;TEXT(H25-K25,"0"),"No")</f>
        <v>Yes — saves $82</v>
      </c>
    </row>
    <row r="26" customFormat="false" ht="15" hidden="false" customHeight="false" outlineLevel="0" collapsed="false">
      <c r="A26" s="7" t="n">
        <v>22</v>
      </c>
      <c r="B26" s="7" t="s">
        <v>110</v>
      </c>
      <c r="C26" s="17" t="n">
        <v>5</v>
      </c>
      <c r="D26" s="17" t="n">
        <v>9</v>
      </c>
      <c r="E26" s="18" t="n">
        <v>209</v>
      </c>
      <c r="F26" s="19" t="n">
        <v>603</v>
      </c>
      <c r="G26" s="19" t="n">
        <f aca="false">D26*(new_rate-cur_rate)</f>
        <v>54</v>
      </c>
      <c r="H26" s="19" t="n">
        <f aca="false">F26+G26</f>
        <v>657</v>
      </c>
      <c r="I26" s="19" t="n">
        <f aca="false">sub_fee</f>
        <v>275</v>
      </c>
      <c r="J26" s="19" t="n">
        <f aca="false">MAX(0, E26-sub_lbs)*sub_overage</f>
        <v>327</v>
      </c>
      <c r="K26" s="19" t="n">
        <f aca="false">I26+J26</f>
        <v>602</v>
      </c>
      <c r="L26" s="20" t="str">
        <f aca="false">IF(K26&lt;H26,"Yes — saves $"&amp;TEXT(H26-K26,"0"),"No")</f>
        <v>Yes — saves $55</v>
      </c>
    </row>
    <row r="27" customFormat="false" ht="15" hidden="false" customHeight="false" outlineLevel="0" collapsed="false">
      <c r="A27" s="7" t="n">
        <v>23</v>
      </c>
      <c r="B27" s="7" t="s">
        <v>111</v>
      </c>
      <c r="C27" s="17" t="n">
        <v>5</v>
      </c>
      <c r="D27" s="17" t="n">
        <v>9</v>
      </c>
      <c r="E27" s="18" t="n">
        <v>204</v>
      </c>
      <c r="F27" s="19" t="n">
        <v>895.75</v>
      </c>
      <c r="G27" s="19" t="n">
        <f aca="false">D27*(new_rate-cur_rate)</f>
        <v>54</v>
      </c>
      <c r="H27" s="19" t="n">
        <f aca="false">F27+G27</f>
        <v>949.75</v>
      </c>
      <c r="I27" s="19" t="n">
        <f aca="false">sub_fee</f>
        <v>275</v>
      </c>
      <c r="J27" s="19" t="n">
        <f aca="false">MAX(0, E27-sub_lbs)*sub_overage</f>
        <v>312</v>
      </c>
      <c r="K27" s="19" t="n">
        <f aca="false">I27+J27</f>
        <v>587</v>
      </c>
      <c r="L27" s="20" t="str">
        <f aca="false">IF(K27&lt;H27,"Yes — saves $"&amp;TEXT(H27-K27,"0"),"No")</f>
        <v>Yes — saves $363</v>
      </c>
    </row>
    <row r="28" customFormat="false" ht="15" hidden="false" customHeight="false" outlineLevel="0" collapsed="false">
      <c r="A28" s="7" t="n">
        <v>24</v>
      </c>
      <c r="B28" s="7" t="s">
        <v>112</v>
      </c>
      <c r="C28" s="17" t="n">
        <v>3</v>
      </c>
      <c r="D28" s="17" t="n">
        <v>8</v>
      </c>
      <c r="E28" s="18" t="n">
        <v>201</v>
      </c>
      <c r="F28" s="19" t="n">
        <v>578.85</v>
      </c>
      <c r="G28" s="19" t="n">
        <f aca="false">D28*(new_rate-cur_rate)</f>
        <v>48</v>
      </c>
      <c r="H28" s="19" t="n">
        <f aca="false">F28+G28</f>
        <v>626.85</v>
      </c>
      <c r="I28" s="19" t="n">
        <f aca="false">sub_fee</f>
        <v>275</v>
      </c>
      <c r="J28" s="19" t="n">
        <f aca="false">MAX(0, E28-sub_lbs)*sub_overage</f>
        <v>303</v>
      </c>
      <c r="K28" s="19" t="n">
        <f aca="false">I28+J28</f>
        <v>578</v>
      </c>
      <c r="L28" s="20" t="str">
        <f aca="false">IF(K28&lt;H28,"Yes — saves $"&amp;TEXT(H28-K28,"0"),"No")</f>
        <v>Yes — saves $49</v>
      </c>
    </row>
    <row r="29" customFormat="false" ht="15" hidden="false" customHeight="false" outlineLevel="0" collapsed="false">
      <c r="A29" s="7" t="n">
        <v>25</v>
      </c>
      <c r="B29" s="7" t="s">
        <v>113</v>
      </c>
      <c r="C29" s="17" t="n">
        <v>3</v>
      </c>
      <c r="D29" s="17" t="n">
        <v>7</v>
      </c>
      <c r="E29" s="18" t="n">
        <v>200</v>
      </c>
      <c r="F29" s="19" t="n">
        <v>497.85</v>
      </c>
      <c r="G29" s="19" t="n">
        <f aca="false">D29*(new_rate-cur_rate)</f>
        <v>42</v>
      </c>
      <c r="H29" s="19" t="n">
        <f aca="false">F29+G29</f>
        <v>539.85</v>
      </c>
      <c r="I29" s="19" t="n">
        <f aca="false">sub_fee</f>
        <v>275</v>
      </c>
      <c r="J29" s="19" t="n">
        <f aca="false">MAX(0, E29-sub_lbs)*sub_overage</f>
        <v>300</v>
      </c>
      <c r="K29" s="19" t="n">
        <f aca="false">I29+J29</f>
        <v>575</v>
      </c>
      <c r="L29" s="20" t="str">
        <f aca="false">IF(K29&lt;H29,"Yes — saves $"&amp;TEXT(H29-K29,"0"),"No")</f>
        <v>No</v>
      </c>
    </row>
    <row r="30" customFormat="false" ht="15" hidden="false" customHeight="false" outlineLevel="0" collapsed="false">
      <c r="A30" s="7" t="n">
        <v>26</v>
      </c>
      <c r="B30" s="7" t="s">
        <v>114</v>
      </c>
      <c r="C30" s="17" t="n">
        <v>3</v>
      </c>
      <c r="D30" s="17" t="n">
        <v>7</v>
      </c>
      <c r="E30" s="18" t="n">
        <v>197</v>
      </c>
      <c r="F30" s="19" t="n">
        <v>541.85</v>
      </c>
      <c r="G30" s="19" t="n">
        <f aca="false">D30*(new_rate-cur_rate)</f>
        <v>42</v>
      </c>
      <c r="H30" s="19" t="n">
        <f aca="false">F30+G30</f>
        <v>583.85</v>
      </c>
      <c r="I30" s="19" t="n">
        <f aca="false">sub_fee</f>
        <v>275</v>
      </c>
      <c r="J30" s="19" t="n">
        <f aca="false">MAX(0, E30-sub_lbs)*sub_overage</f>
        <v>291</v>
      </c>
      <c r="K30" s="19" t="n">
        <f aca="false">I30+J30</f>
        <v>566</v>
      </c>
      <c r="L30" s="20" t="str">
        <f aca="false">IF(K30&lt;H30,"Yes — saves $"&amp;TEXT(H30-K30,"0"),"No")</f>
        <v>Yes — saves $18</v>
      </c>
    </row>
    <row r="31" customFormat="false" ht="15" hidden="false" customHeight="false" outlineLevel="0" collapsed="false">
      <c r="A31" s="7" t="n">
        <v>27</v>
      </c>
      <c r="B31" s="7" t="s">
        <v>115</v>
      </c>
      <c r="C31" s="17" t="n">
        <v>5</v>
      </c>
      <c r="D31" s="17" t="n">
        <v>10</v>
      </c>
      <c r="E31" s="18" t="n">
        <v>197</v>
      </c>
      <c r="F31" s="19" t="n">
        <v>639.75</v>
      </c>
      <c r="G31" s="19" t="n">
        <f aca="false">D31*(new_rate-cur_rate)</f>
        <v>60</v>
      </c>
      <c r="H31" s="19" t="n">
        <f aca="false">F31+G31</f>
        <v>699.75</v>
      </c>
      <c r="I31" s="19" t="n">
        <f aca="false">sub_fee</f>
        <v>275</v>
      </c>
      <c r="J31" s="19" t="n">
        <f aca="false">MAX(0, E31-sub_lbs)*sub_overage</f>
        <v>291</v>
      </c>
      <c r="K31" s="19" t="n">
        <f aca="false">I31+J31</f>
        <v>566</v>
      </c>
      <c r="L31" s="20" t="str">
        <f aca="false">IF(K31&lt;H31,"Yes — saves $"&amp;TEXT(H31-K31,"0"),"No")</f>
        <v>Yes — saves $134</v>
      </c>
    </row>
    <row r="32" customFormat="false" ht="15" hidden="false" customHeight="false" outlineLevel="0" collapsed="false">
      <c r="A32" s="7" t="n">
        <v>28</v>
      </c>
      <c r="B32" s="7" t="s">
        <v>116</v>
      </c>
      <c r="C32" s="17" t="n">
        <v>2</v>
      </c>
      <c r="D32" s="17" t="n">
        <v>7</v>
      </c>
      <c r="E32" s="18" t="n">
        <v>186</v>
      </c>
      <c r="F32" s="19" t="n">
        <v>475.9</v>
      </c>
      <c r="G32" s="19" t="n">
        <f aca="false">D32*(new_rate-cur_rate)</f>
        <v>42</v>
      </c>
      <c r="H32" s="19" t="n">
        <f aca="false">F32+G32</f>
        <v>517.9</v>
      </c>
      <c r="I32" s="19" t="n">
        <f aca="false">sub_fee</f>
        <v>275</v>
      </c>
      <c r="J32" s="19" t="n">
        <f aca="false">MAX(0, E32-sub_lbs)*sub_overage</f>
        <v>258</v>
      </c>
      <c r="K32" s="19" t="n">
        <f aca="false">I32+J32</f>
        <v>533</v>
      </c>
      <c r="L32" s="20" t="str">
        <f aca="false">IF(K32&lt;H32,"Yes — saves $"&amp;TEXT(H32-K32,"0"),"No")</f>
        <v>No</v>
      </c>
    </row>
    <row r="33" customFormat="false" ht="15" hidden="false" customHeight="false" outlineLevel="0" collapsed="false">
      <c r="A33" s="7" t="n">
        <v>29</v>
      </c>
      <c r="B33" s="7" t="s">
        <v>117</v>
      </c>
      <c r="C33" s="17" t="n">
        <v>4</v>
      </c>
      <c r="D33" s="17" t="n">
        <v>8</v>
      </c>
      <c r="E33" s="18" t="n">
        <v>185</v>
      </c>
      <c r="F33" s="19" t="n">
        <v>497.8</v>
      </c>
      <c r="G33" s="19" t="n">
        <f aca="false">D33*(new_rate-cur_rate)</f>
        <v>48</v>
      </c>
      <c r="H33" s="19" t="n">
        <f aca="false">F33+G33</f>
        <v>545.8</v>
      </c>
      <c r="I33" s="19" t="n">
        <f aca="false">sub_fee</f>
        <v>275</v>
      </c>
      <c r="J33" s="19" t="n">
        <f aca="false">MAX(0, E33-sub_lbs)*sub_overage</f>
        <v>255</v>
      </c>
      <c r="K33" s="19" t="n">
        <f aca="false">I33+J33</f>
        <v>530</v>
      </c>
      <c r="L33" s="20" t="str">
        <f aca="false">IF(K33&lt;H33,"Yes — saves $"&amp;TEXT(H33-K33,"0"),"No")</f>
        <v>Yes — saves $16</v>
      </c>
    </row>
    <row r="34" customFormat="false" ht="15" hidden="false" customHeight="false" outlineLevel="0" collapsed="false">
      <c r="A34" s="7" t="n">
        <v>30</v>
      </c>
      <c r="B34" s="7" t="s">
        <v>118</v>
      </c>
      <c r="C34" s="17" t="n">
        <v>5</v>
      </c>
      <c r="D34" s="17" t="n">
        <v>9</v>
      </c>
      <c r="E34" s="18" t="n">
        <v>185</v>
      </c>
      <c r="F34" s="19" t="n">
        <v>580.75</v>
      </c>
      <c r="G34" s="19" t="n">
        <f aca="false">D34*(new_rate-cur_rate)</f>
        <v>54</v>
      </c>
      <c r="H34" s="19" t="n">
        <f aca="false">F34+G34</f>
        <v>634.75</v>
      </c>
      <c r="I34" s="19" t="n">
        <f aca="false">sub_fee</f>
        <v>275</v>
      </c>
      <c r="J34" s="19" t="n">
        <f aca="false">MAX(0, E34-sub_lbs)*sub_overage</f>
        <v>255</v>
      </c>
      <c r="K34" s="19" t="n">
        <f aca="false">I34+J34</f>
        <v>530</v>
      </c>
      <c r="L34" s="20" t="str">
        <f aca="false">IF(K34&lt;H34,"Yes — saves $"&amp;TEXT(H34-K34,"0"),"No")</f>
        <v>Yes — saves $105</v>
      </c>
    </row>
    <row r="35" customFormat="false" ht="15" hidden="false" customHeight="false" outlineLevel="0" collapsed="false">
      <c r="A35" s="7" t="n">
        <v>31</v>
      </c>
      <c r="B35" s="7" t="s">
        <v>119</v>
      </c>
      <c r="C35" s="17" t="n">
        <v>4</v>
      </c>
      <c r="D35" s="17" t="n">
        <v>8</v>
      </c>
      <c r="E35" s="18" t="n">
        <v>184</v>
      </c>
      <c r="F35" s="19" t="n">
        <v>646.8</v>
      </c>
      <c r="G35" s="19" t="n">
        <f aca="false">D35*(new_rate-cur_rate)</f>
        <v>48</v>
      </c>
      <c r="H35" s="19" t="n">
        <f aca="false">F35+G35</f>
        <v>694.8</v>
      </c>
      <c r="I35" s="19" t="n">
        <f aca="false">sub_fee</f>
        <v>275</v>
      </c>
      <c r="J35" s="19" t="n">
        <f aca="false">MAX(0, E35-sub_lbs)*sub_overage</f>
        <v>252</v>
      </c>
      <c r="K35" s="19" t="n">
        <f aca="false">I35+J35</f>
        <v>527</v>
      </c>
      <c r="L35" s="20" t="str">
        <f aca="false">IF(K35&lt;H35,"Yes — saves $"&amp;TEXT(H35-K35,"0"),"No")</f>
        <v>Yes — saves $168</v>
      </c>
    </row>
    <row r="36" customFormat="false" ht="15" hidden="false" customHeight="false" outlineLevel="0" collapsed="false">
      <c r="A36" s="7" t="n">
        <v>32</v>
      </c>
      <c r="B36" s="7" t="s">
        <v>120</v>
      </c>
      <c r="C36" s="17" t="n">
        <v>5</v>
      </c>
      <c r="D36" s="17" t="n">
        <v>9</v>
      </c>
      <c r="E36" s="18" t="n">
        <v>183</v>
      </c>
      <c r="F36" s="19" t="n">
        <v>620.75</v>
      </c>
      <c r="G36" s="19" t="n">
        <f aca="false">D36*(new_rate-cur_rate)</f>
        <v>54</v>
      </c>
      <c r="H36" s="19" t="n">
        <f aca="false">F36+G36</f>
        <v>674.75</v>
      </c>
      <c r="I36" s="19" t="n">
        <f aca="false">sub_fee</f>
        <v>275</v>
      </c>
      <c r="J36" s="19" t="n">
        <f aca="false">MAX(0, E36-sub_lbs)*sub_overage</f>
        <v>249</v>
      </c>
      <c r="K36" s="19" t="n">
        <f aca="false">I36+J36</f>
        <v>524</v>
      </c>
      <c r="L36" s="20" t="str">
        <f aca="false">IF(K36&lt;H36,"Yes — saves $"&amp;TEXT(H36-K36,"0"),"No")</f>
        <v>Yes — saves $151</v>
      </c>
    </row>
    <row r="37" customFormat="false" ht="15" hidden="false" customHeight="false" outlineLevel="0" collapsed="false">
      <c r="A37" s="7" t="n">
        <v>33</v>
      </c>
      <c r="B37" s="7" t="s">
        <v>121</v>
      </c>
      <c r="C37" s="17" t="n">
        <v>4</v>
      </c>
      <c r="D37" s="17" t="n">
        <v>8</v>
      </c>
      <c r="E37" s="18" t="n">
        <v>183</v>
      </c>
      <c r="F37" s="19" t="n">
        <v>515.8</v>
      </c>
      <c r="G37" s="19" t="n">
        <f aca="false">D37*(new_rate-cur_rate)</f>
        <v>48</v>
      </c>
      <c r="H37" s="19" t="n">
        <f aca="false">F37+G37</f>
        <v>563.8</v>
      </c>
      <c r="I37" s="19" t="n">
        <f aca="false">sub_fee</f>
        <v>275</v>
      </c>
      <c r="J37" s="19" t="n">
        <f aca="false">MAX(0, E37-sub_lbs)*sub_overage</f>
        <v>249</v>
      </c>
      <c r="K37" s="19" t="n">
        <f aca="false">I37+J37</f>
        <v>524</v>
      </c>
      <c r="L37" s="20" t="str">
        <f aca="false">IF(K37&lt;H37,"Yes — saves $"&amp;TEXT(H37-K37,"0"),"No")</f>
        <v>Yes — saves $40</v>
      </c>
    </row>
    <row r="38" customFormat="false" ht="15" hidden="false" customHeight="false" outlineLevel="0" collapsed="false">
      <c r="A38" s="7" t="n">
        <v>34</v>
      </c>
      <c r="B38" s="7" t="s">
        <v>122</v>
      </c>
      <c r="C38" s="17" t="n">
        <v>3</v>
      </c>
      <c r="D38" s="17" t="n">
        <v>7</v>
      </c>
      <c r="E38" s="18" t="n">
        <v>180</v>
      </c>
      <c r="F38" s="19" t="n">
        <v>502.85</v>
      </c>
      <c r="G38" s="19" t="n">
        <f aca="false">D38*(new_rate-cur_rate)</f>
        <v>42</v>
      </c>
      <c r="H38" s="19" t="n">
        <f aca="false">F38+G38</f>
        <v>544.85</v>
      </c>
      <c r="I38" s="19" t="n">
        <f aca="false">sub_fee</f>
        <v>275</v>
      </c>
      <c r="J38" s="19" t="n">
        <f aca="false">MAX(0, E38-sub_lbs)*sub_overage</f>
        <v>240</v>
      </c>
      <c r="K38" s="19" t="n">
        <f aca="false">I38+J38</f>
        <v>515</v>
      </c>
      <c r="L38" s="20" t="str">
        <f aca="false">IF(K38&lt;H38,"Yes — saves $"&amp;TEXT(H38-K38,"0"),"No")</f>
        <v>Yes — saves $30</v>
      </c>
    </row>
    <row r="39" customFormat="false" ht="15" hidden="false" customHeight="false" outlineLevel="0" collapsed="false">
      <c r="A39" s="7" t="n">
        <v>35</v>
      </c>
      <c r="B39" s="7" t="s">
        <v>123</v>
      </c>
      <c r="C39" s="17" t="n">
        <v>2</v>
      </c>
      <c r="D39" s="17" t="n">
        <v>7</v>
      </c>
      <c r="E39" s="18" t="n">
        <v>179</v>
      </c>
      <c r="F39" s="19" t="n">
        <v>444.9</v>
      </c>
      <c r="G39" s="19" t="n">
        <f aca="false">D39*(new_rate-cur_rate)</f>
        <v>42</v>
      </c>
      <c r="H39" s="19" t="n">
        <f aca="false">F39+G39</f>
        <v>486.9</v>
      </c>
      <c r="I39" s="19" t="n">
        <f aca="false">sub_fee</f>
        <v>275</v>
      </c>
      <c r="J39" s="19" t="n">
        <f aca="false">MAX(0, E39-sub_lbs)*sub_overage</f>
        <v>237</v>
      </c>
      <c r="K39" s="19" t="n">
        <f aca="false">I39+J39</f>
        <v>512</v>
      </c>
      <c r="L39" s="20" t="str">
        <f aca="false">IF(K39&lt;H39,"Yes — saves $"&amp;TEXT(H39-K39,"0"),"No")</f>
        <v>No</v>
      </c>
    </row>
    <row r="40" customFormat="false" ht="15" hidden="false" customHeight="false" outlineLevel="0" collapsed="false">
      <c r="A40" s="7" t="n">
        <v>36</v>
      </c>
      <c r="B40" s="7" t="s">
        <v>124</v>
      </c>
      <c r="C40" s="17" t="n">
        <v>5</v>
      </c>
      <c r="D40" s="17" t="n">
        <v>10</v>
      </c>
      <c r="E40" s="18" t="n">
        <v>179</v>
      </c>
      <c r="F40" s="19" t="n">
        <v>754.75</v>
      </c>
      <c r="G40" s="19" t="n">
        <f aca="false">D40*(new_rate-cur_rate)</f>
        <v>60</v>
      </c>
      <c r="H40" s="19" t="n">
        <f aca="false">F40+G40</f>
        <v>814.75</v>
      </c>
      <c r="I40" s="19" t="n">
        <f aca="false">sub_fee</f>
        <v>275</v>
      </c>
      <c r="J40" s="19" t="n">
        <f aca="false">MAX(0, E40-sub_lbs)*sub_overage</f>
        <v>237</v>
      </c>
      <c r="K40" s="19" t="n">
        <f aca="false">I40+J40</f>
        <v>512</v>
      </c>
      <c r="L40" s="20" t="str">
        <f aca="false">IF(K40&lt;H40,"Yes — saves $"&amp;TEXT(H40-K40,"0"),"No")</f>
        <v>Yes — saves $303</v>
      </c>
    </row>
    <row r="41" customFormat="false" ht="15" hidden="false" customHeight="false" outlineLevel="0" collapsed="false">
      <c r="A41" s="7" t="n">
        <v>37</v>
      </c>
      <c r="B41" s="7" t="s">
        <v>125</v>
      </c>
      <c r="C41" s="17" t="n">
        <v>2</v>
      </c>
      <c r="D41" s="17" t="n">
        <v>9</v>
      </c>
      <c r="E41" s="18" t="n">
        <v>176</v>
      </c>
      <c r="F41" s="19" t="n">
        <v>530.9</v>
      </c>
      <c r="G41" s="19" t="n">
        <f aca="false">D41*(new_rate-cur_rate)</f>
        <v>54</v>
      </c>
      <c r="H41" s="19" t="n">
        <f aca="false">F41+G41</f>
        <v>584.9</v>
      </c>
      <c r="I41" s="19" t="n">
        <f aca="false">sub_fee</f>
        <v>275</v>
      </c>
      <c r="J41" s="19" t="n">
        <f aca="false">MAX(0, E41-sub_lbs)*sub_overage</f>
        <v>228</v>
      </c>
      <c r="K41" s="19" t="n">
        <f aca="false">I41+J41</f>
        <v>503</v>
      </c>
      <c r="L41" s="20" t="str">
        <f aca="false">IF(K41&lt;H41,"Yes — saves $"&amp;TEXT(H41-K41,"0"),"No")</f>
        <v>Yes — saves $82</v>
      </c>
    </row>
    <row r="42" customFormat="false" ht="15" hidden="false" customHeight="false" outlineLevel="0" collapsed="false">
      <c r="A42" s="7" t="n">
        <v>38</v>
      </c>
      <c r="B42" s="7" t="s">
        <v>126</v>
      </c>
      <c r="C42" s="17" t="n">
        <v>4</v>
      </c>
      <c r="D42" s="17" t="n">
        <v>8</v>
      </c>
      <c r="E42" s="18" t="n">
        <v>176</v>
      </c>
      <c r="F42" s="19" t="n">
        <v>526.8</v>
      </c>
      <c r="G42" s="19" t="n">
        <f aca="false">D42*(new_rate-cur_rate)</f>
        <v>48</v>
      </c>
      <c r="H42" s="19" t="n">
        <f aca="false">F42+G42</f>
        <v>574.8</v>
      </c>
      <c r="I42" s="19" t="n">
        <f aca="false">sub_fee</f>
        <v>275</v>
      </c>
      <c r="J42" s="19" t="n">
        <f aca="false">MAX(0, E42-sub_lbs)*sub_overage</f>
        <v>228</v>
      </c>
      <c r="K42" s="19" t="n">
        <f aca="false">I42+J42</f>
        <v>503</v>
      </c>
      <c r="L42" s="20" t="str">
        <f aca="false">IF(K42&lt;H42,"Yes — saves $"&amp;TEXT(H42-K42,"0"),"No")</f>
        <v>Yes — saves $72</v>
      </c>
    </row>
    <row r="43" customFormat="false" ht="15" hidden="false" customHeight="false" outlineLevel="0" collapsed="false">
      <c r="A43" s="7" t="n">
        <v>39</v>
      </c>
      <c r="B43" s="7" t="s">
        <v>127</v>
      </c>
      <c r="C43" s="17" t="n">
        <v>4</v>
      </c>
      <c r="D43" s="17" t="n">
        <v>8</v>
      </c>
      <c r="E43" s="18" t="n">
        <v>176</v>
      </c>
      <c r="F43" s="19" t="n">
        <v>566.8</v>
      </c>
      <c r="G43" s="19" t="n">
        <f aca="false">D43*(new_rate-cur_rate)</f>
        <v>48</v>
      </c>
      <c r="H43" s="19" t="n">
        <f aca="false">F43+G43</f>
        <v>614.8</v>
      </c>
      <c r="I43" s="19" t="n">
        <f aca="false">sub_fee</f>
        <v>275</v>
      </c>
      <c r="J43" s="19" t="n">
        <f aca="false">MAX(0, E43-sub_lbs)*sub_overage</f>
        <v>228</v>
      </c>
      <c r="K43" s="19" t="n">
        <f aca="false">I43+J43</f>
        <v>503</v>
      </c>
      <c r="L43" s="20" t="str">
        <f aca="false">IF(K43&lt;H43,"Yes — saves $"&amp;TEXT(H43-K43,"0"),"No")</f>
        <v>Yes — saves $112</v>
      </c>
    </row>
    <row r="44" customFormat="false" ht="15" hidden="false" customHeight="false" outlineLevel="0" collapsed="false">
      <c r="A44" s="7" t="n">
        <v>40</v>
      </c>
      <c r="B44" s="7" t="s">
        <v>128</v>
      </c>
      <c r="C44" s="17" t="n">
        <v>2</v>
      </c>
      <c r="D44" s="17" t="n">
        <v>7</v>
      </c>
      <c r="E44" s="18" t="n">
        <v>176</v>
      </c>
      <c r="F44" s="19" t="n">
        <v>472.9</v>
      </c>
      <c r="G44" s="19" t="n">
        <f aca="false">D44*(new_rate-cur_rate)</f>
        <v>42</v>
      </c>
      <c r="H44" s="19" t="n">
        <f aca="false">F44+G44</f>
        <v>514.9</v>
      </c>
      <c r="I44" s="19" t="n">
        <f aca="false">sub_fee</f>
        <v>275</v>
      </c>
      <c r="J44" s="19" t="n">
        <f aca="false">MAX(0, E44-sub_lbs)*sub_overage</f>
        <v>228</v>
      </c>
      <c r="K44" s="19" t="n">
        <f aca="false">I44+J44</f>
        <v>503</v>
      </c>
      <c r="L44" s="20" t="str">
        <f aca="false">IF(K44&lt;H44,"Yes — saves $"&amp;TEXT(H44-K44,"0"),"No")</f>
        <v>Yes — saves $12</v>
      </c>
    </row>
    <row r="45" customFormat="false" ht="15" hidden="false" customHeight="false" outlineLevel="0" collapsed="false">
      <c r="A45" s="7" t="n">
        <v>41</v>
      </c>
      <c r="B45" s="7" t="s">
        <v>129</v>
      </c>
      <c r="C45" s="17" t="n">
        <v>3</v>
      </c>
      <c r="D45" s="17" t="n">
        <v>6</v>
      </c>
      <c r="E45" s="18" t="n">
        <v>176</v>
      </c>
      <c r="F45" s="19" t="n">
        <v>461.85</v>
      </c>
      <c r="G45" s="19" t="n">
        <f aca="false">D45*(new_rate-cur_rate)</f>
        <v>36</v>
      </c>
      <c r="H45" s="19" t="n">
        <f aca="false">F45+G45</f>
        <v>497.85</v>
      </c>
      <c r="I45" s="19" t="n">
        <f aca="false">sub_fee</f>
        <v>275</v>
      </c>
      <c r="J45" s="19" t="n">
        <f aca="false">MAX(0, E45-sub_lbs)*sub_overage</f>
        <v>228</v>
      </c>
      <c r="K45" s="19" t="n">
        <f aca="false">I45+J45</f>
        <v>503</v>
      </c>
      <c r="L45" s="20" t="str">
        <f aca="false">IF(K45&lt;H45,"Yes — saves $"&amp;TEXT(H45-K45,"0"),"No")</f>
        <v>No</v>
      </c>
    </row>
    <row r="46" customFormat="false" ht="15" hidden="false" customHeight="false" outlineLevel="0" collapsed="false">
      <c r="A46" s="7" t="n">
        <v>42</v>
      </c>
      <c r="B46" s="7" t="s">
        <v>130</v>
      </c>
      <c r="C46" s="17" t="n">
        <v>4</v>
      </c>
      <c r="D46" s="17" t="n">
        <v>8</v>
      </c>
      <c r="E46" s="18" t="n">
        <v>173</v>
      </c>
      <c r="F46" s="19" t="n">
        <v>511.8</v>
      </c>
      <c r="G46" s="19" t="n">
        <f aca="false">D46*(new_rate-cur_rate)</f>
        <v>48</v>
      </c>
      <c r="H46" s="19" t="n">
        <f aca="false">F46+G46</f>
        <v>559.8</v>
      </c>
      <c r="I46" s="19" t="n">
        <f aca="false">sub_fee</f>
        <v>275</v>
      </c>
      <c r="J46" s="19" t="n">
        <f aca="false">MAX(0, E46-sub_lbs)*sub_overage</f>
        <v>219</v>
      </c>
      <c r="K46" s="19" t="n">
        <f aca="false">I46+J46</f>
        <v>494</v>
      </c>
      <c r="L46" s="20" t="str">
        <f aca="false">IF(K46&lt;H46,"Yes — saves $"&amp;TEXT(H46-K46,"0"),"No")</f>
        <v>Yes — saves $66</v>
      </c>
    </row>
    <row r="47" customFormat="false" ht="15" hidden="false" customHeight="false" outlineLevel="0" collapsed="false">
      <c r="A47" s="7" t="n">
        <v>43</v>
      </c>
      <c r="B47" s="7" t="s">
        <v>131</v>
      </c>
      <c r="C47" s="17" t="n">
        <v>4</v>
      </c>
      <c r="D47" s="17" t="n">
        <v>8</v>
      </c>
      <c r="E47" s="18" t="n">
        <v>173</v>
      </c>
      <c r="F47" s="19" t="n">
        <v>538.8</v>
      </c>
      <c r="G47" s="19" t="n">
        <f aca="false">D47*(new_rate-cur_rate)</f>
        <v>48</v>
      </c>
      <c r="H47" s="19" t="n">
        <f aca="false">F47+G47</f>
        <v>586.8</v>
      </c>
      <c r="I47" s="19" t="n">
        <f aca="false">sub_fee</f>
        <v>275</v>
      </c>
      <c r="J47" s="19" t="n">
        <f aca="false">MAX(0, E47-sub_lbs)*sub_overage</f>
        <v>219</v>
      </c>
      <c r="K47" s="19" t="n">
        <f aca="false">I47+J47</f>
        <v>494</v>
      </c>
      <c r="L47" s="20" t="str">
        <f aca="false">IF(K47&lt;H47,"Yes — saves $"&amp;TEXT(H47-K47,"0"),"No")</f>
        <v>Yes — saves $93</v>
      </c>
    </row>
    <row r="48" customFormat="false" ht="15" hidden="false" customHeight="false" outlineLevel="0" collapsed="false">
      <c r="A48" s="7" t="n">
        <v>44</v>
      </c>
      <c r="B48" s="7" t="s">
        <v>132</v>
      </c>
      <c r="C48" s="17" t="n">
        <v>6</v>
      </c>
      <c r="D48" s="17" t="n">
        <v>8</v>
      </c>
      <c r="E48" s="18" t="n">
        <v>173</v>
      </c>
      <c r="F48" s="19" t="n">
        <v>555.7</v>
      </c>
      <c r="G48" s="19" t="n">
        <f aca="false">D48*(new_rate-cur_rate)</f>
        <v>48</v>
      </c>
      <c r="H48" s="19" t="n">
        <f aca="false">F48+G48</f>
        <v>603.7</v>
      </c>
      <c r="I48" s="19" t="n">
        <f aca="false">sub_fee</f>
        <v>275</v>
      </c>
      <c r="J48" s="19" t="n">
        <f aca="false">MAX(0, E48-sub_lbs)*sub_overage</f>
        <v>219</v>
      </c>
      <c r="K48" s="19" t="n">
        <f aca="false">I48+J48</f>
        <v>494</v>
      </c>
      <c r="L48" s="20" t="str">
        <f aca="false">IF(K48&lt;H48,"Yes — saves $"&amp;TEXT(H48-K48,"0"),"No")</f>
        <v>Yes — saves $110</v>
      </c>
    </row>
    <row r="49" customFormat="false" ht="15" hidden="false" customHeight="false" outlineLevel="0" collapsed="false">
      <c r="A49" s="7" t="n">
        <v>45</v>
      </c>
      <c r="B49" s="7" t="s">
        <v>133</v>
      </c>
      <c r="C49" s="17" t="n">
        <v>4</v>
      </c>
      <c r="D49" s="17" t="n">
        <v>9</v>
      </c>
      <c r="E49" s="18" t="n">
        <v>171</v>
      </c>
      <c r="F49" s="19" t="n">
        <v>597.8</v>
      </c>
      <c r="G49" s="19" t="n">
        <f aca="false">D49*(new_rate-cur_rate)</f>
        <v>54</v>
      </c>
      <c r="H49" s="19" t="n">
        <f aca="false">F49+G49</f>
        <v>651.8</v>
      </c>
      <c r="I49" s="19" t="n">
        <f aca="false">sub_fee</f>
        <v>275</v>
      </c>
      <c r="J49" s="19" t="n">
        <f aca="false">MAX(0, E49-sub_lbs)*sub_overage</f>
        <v>213</v>
      </c>
      <c r="K49" s="19" t="n">
        <f aca="false">I49+J49</f>
        <v>488</v>
      </c>
      <c r="L49" s="20" t="str">
        <f aca="false">IF(K49&lt;H49,"Yes — saves $"&amp;TEXT(H49-K49,"0"),"No")</f>
        <v>Yes — saves $164</v>
      </c>
    </row>
    <row r="50" customFormat="false" ht="15" hidden="false" customHeight="false" outlineLevel="0" collapsed="false">
      <c r="A50" s="7" t="n">
        <v>46</v>
      </c>
      <c r="B50" s="7" t="s">
        <v>134</v>
      </c>
      <c r="C50" s="17" t="n">
        <v>3</v>
      </c>
      <c r="D50" s="17" t="n">
        <v>7</v>
      </c>
      <c r="E50" s="18" t="n">
        <v>171</v>
      </c>
      <c r="F50" s="19" t="n">
        <v>444.85</v>
      </c>
      <c r="G50" s="19" t="n">
        <f aca="false">D50*(new_rate-cur_rate)</f>
        <v>42</v>
      </c>
      <c r="H50" s="19" t="n">
        <f aca="false">F50+G50</f>
        <v>486.85</v>
      </c>
      <c r="I50" s="19" t="n">
        <f aca="false">sub_fee</f>
        <v>275</v>
      </c>
      <c r="J50" s="19" t="n">
        <f aca="false">MAX(0, E50-sub_lbs)*sub_overage</f>
        <v>213</v>
      </c>
      <c r="K50" s="19" t="n">
        <f aca="false">I50+J50</f>
        <v>488</v>
      </c>
      <c r="L50" s="20" t="str">
        <f aca="false">IF(K50&lt;H50,"Yes — saves $"&amp;TEXT(H50-K50,"0"),"No")</f>
        <v>No</v>
      </c>
    </row>
    <row r="51" customFormat="false" ht="15" hidden="false" customHeight="false" outlineLevel="0" collapsed="false">
      <c r="A51" s="7" t="n">
        <v>47</v>
      </c>
      <c r="B51" s="7" t="s">
        <v>135</v>
      </c>
      <c r="C51" s="17" t="n">
        <v>4</v>
      </c>
      <c r="D51" s="17" t="n">
        <v>6</v>
      </c>
      <c r="E51" s="18" t="n">
        <v>170</v>
      </c>
      <c r="F51" s="19" t="n">
        <v>436.8</v>
      </c>
      <c r="G51" s="19" t="n">
        <f aca="false">D51*(new_rate-cur_rate)</f>
        <v>36</v>
      </c>
      <c r="H51" s="19" t="n">
        <f aca="false">F51+G51</f>
        <v>472.8</v>
      </c>
      <c r="I51" s="19" t="n">
        <f aca="false">sub_fee</f>
        <v>275</v>
      </c>
      <c r="J51" s="19" t="n">
        <f aca="false">MAX(0, E51-sub_lbs)*sub_overage</f>
        <v>210</v>
      </c>
      <c r="K51" s="19" t="n">
        <f aca="false">I51+J51</f>
        <v>485</v>
      </c>
      <c r="L51" s="20" t="str">
        <f aca="false">IF(K51&lt;H51,"Yes — saves $"&amp;TEXT(H51-K51,"0"),"No")</f>
        <v>No</v>
      </c>
    </row>
    <row r="52" customFormat="false" ht="15" hidden="false" customHeight="false" outlineLevel="0" collapsed="false">
      <c r="A52" s="7" t="n">
        <v>48</v>
      </c>
      <c r="B52" s="7" t="s">
        <v>136</v>
      </c>
      <c r="C52" s="17" t="n">
        <v>3</v>
      </c>
      <c r="D52" s="17" t="n">
        <v>8</v>
      </c>
      <c r="E52" s="18" t="n">
        <v>168</v>
      </c>
      <c r="F52" s="19" t="n">
        <v>481.85</v>
      </c>
      <c r="G52" s="19" t="n">
        <f aca="false">D52*(new_rate-cur_rate)</f>
        <v>48</v>
      </c>
      <c r="H52" s="19" t="n">
        <f aca="false">F52+G52</f>
        <v>529.85</v>
      </c>
      <c r="I52" s="19" t="n">
        <f aca="false">sub_fee</f>
        <v>275</v>
      </c>
      <c r="J52" s="19" t="n">
        <f aca="false">MAX(0, E52-sub_lbs)*sub_overage</f>
        <v>204</v>
      </c>
      <c r="K52" s="19" t="n">
        <f aca="false">I52+J52</f>
        <v>479</v>
      </c>
      <c r="L52" s="20" t="str">
        <f aca="false">IF(K52&lt;H52,"Yes — saves $"&amp;TEXT(H52-K52,"0"),"No")</f>
        <v>Yes — saves $51</v>
      </c>
    </row>
    <row r="53" customFormat="false" ht="15" hidden="false" customHeight="false" outlineLevel="0" collapsed="false">
      <c r="A53" s="7" t="n">
        <v>49</v>
      </c>
      <c r="B53" s="7" t="s">
        <v>137</v>
      </c>
      <c r="C53" s="17" t="n">
        <v>8</v>
      </c>
      <c r="D53" s="17" t="n">
        <v>9</v>
      </c>
      <c r="E53" s="18" t="n">
        <v>168</v>
      </c>
      <c r="F53" s="19" t="n">
        <v>694.6</v>
      </c>
      <c r="G53" s="19" t="n">
        <f aca="false">D53*(new_rate-cur_rate)</f>
        <v>54</v>
      </c>
      <c r="H53" s="19" t="n">
        <f aca="false">F53+G53</f>
        <v>748.6</v>
      </c>
      <c r="I53" s="19" t="n">
        <f aca="false">sub_fee</f>
        <v>275</v>
      </c>
      <c r="J53" s="19" t="n">
        <f aca="false">MAX(0, E53-sub_lbs)*sub_overage</f>
        <v>204</v>
      </c>
      <c r="K53" s="19" t="n">
        <f aca="false">I53+J53</f>
        <v>479</v>
      </c>
      <c r="L53" s="20" t="str">
        <f aca="false">IF(K53&lt;H53,"Yes — saves $"&amp;TEXT(H53-K53,"0"),"No")</f>
        <v>Yes — saves $270</v>
      </c>
    </row>
    <row r="54" customFormat="false" ht="15" hidden="false" customHeight="false" outlineLevel="0" collapsed="false">
      <c r="A54" s="7" t="n">
        <v>50</v>
      </c>
      <c r="B54" s="7" t="s">
        <v>138</v>
      </c>
      <c r="C54" s="17" t="n">
        <v>3</v>
      </c>
      <c r="D54" s="17" t="n">
        <v>6</v>
      </c>
      <c r="E54" s="18" t="n">
        <v>168</v>
      </c>
      <c r="F54" s="19" t="n">
        <v>455.85</v>
      </c>
      <c r="G54" s="19" t="n">
        <f aca="false">D54*(new_rate-cur_rate)</f>
        <v>36</v>
      </c>
      <c r="H54" s="19" t="n">
        <f aca="false">F54+G54</f>
        <v>491.85</v>
      </c>
      <c r="I54" s="19" t="n">
        <f aca="false">sub_fee</f>
        <v>275</v>
      </c>
      <c r="J54" s="19" t="n">
        <f aca="false">MAX(0, E54-sub_lbs)*sub_overage</f>
        <v>204</v>
      </c>
      <c r="K54" s="19" t="n">
        <f aca="false">I54+J54</f>
        <v>479</v>
      </c>
      <c r="L54" s="20" t="str">
        <f aca="false">IF(K54&lt;H54,"Yes — saves $"&amp;TEXT(H54-K54,"0"),"No")</f>
        <v>Yes — saves $13</v>
      </c>
    </row>
    <row r="55" customFormat="false" ht="15" hidden="false" customHeight="false" outlineLevel="0" collapsed="false">
      <c r="A55" s="7" t="n">
        <v>51</v>
      </c>
      <c r="B55" s="7" t="s">
        <v>139</v>
      </c>
      <c r="C55" s="17" t="n">
        <v>5</v>
      </c>
      <c r="D55" s="17" t="n">
        <v>5</v>
      </c>
      <c r="E55" s="18" t="n">
        <v>167</v>
      </c>
      <c r="F55" s="19" t="n">
        <v>470.75</v>
      </c>
      <c r="G55" s="19" t="n">
        <f aca="false">D55*(new_rate-cur_rate)</f>
        <v>30</v>
      </c>
      <c r="H55" s="19" t="n">
        <f aca="false">F55+G55</f>
        <v>500.75</v>
      </c>
      <c r="I55" s="19" t="n">
        <f aca="false">sub_fee</f>
        <v>275</v>
      </c>
      <c r="J55" s="19" t="n">
        <f aca="false">MAX(0, E55-sub_lbs)*sub_overage</f>
        <v>201</v>
      </c>
      <c r="K55" s="19" t="n">
        <f aca="false">I55+J55</f>
        <v>476</v>
      </c>
      <c r="L55" s="20" t="str">
        <f aca="false">IF(K55&lt;H55,"Yes — saves $"&amp;TEXT(H55-K55,"0"),"No")</f>
        <v>Yes — saves $25</v>
      </c>
    </row>
    <row r="56" customFormat="false" ht="15" hidden="false" customHeight="false" outlineLevel="0" collapsed="false">
      <c r="A56" s="7" t="n">
        <v>52</v>
      </c>
      <c r="B56" s="7" t="s">
        <v>140</v>
      </c>
      <c r="C56" s="17" t="n">
        <v>3</v>
      </c>
      <c r="D56" s="17" t="n">
        <v>10</v>
      </c>
      <c r="E56" s="18" t="n">
        <v>166</v>
      </c>
      <c r="F56" s="19" t="n">
        <v>649.85</v>
      </c>
      <c r="G56" s="19" t="n">
        <f aca="false">D56*(new_rate-cur_rate)</f>
        <v>60</v>
      </c>
      <c r="H56" s="19" t="n">
        <f aca="false">F56+G56</f>
        <v>709.85</v>
      </c>
      <c r="I56" s="19" t="n">
        <f aca="false">sub_fee</f>
        <v>275</v>
      </c>
      <c r="J56" s="19" t="n">
        <f aca="false">MAX(0, E56-sub_lbs)*sub_overage</f>
        <v>198</v>
      </c>
      <c r="K56" s="19" t="n">
        <f aca="false">I56+J56</f>
        <v>473</v>
      </c>
      <c r="L56" s="20" t="str">
        <f aca="false">IF(K56&lt;H56,"Yes — saves $"&amp;TEXT(H56-K56,"0"),"No")</f>
        <v>Yes — saves $237</v>
      </c>
    </row>
    <row r="57" customFormat="false" ht="15" hidden="false" customHeight="false" outlineLevel="0" collapsed="false">
      <c r="A57" s="7" t="n">
        <v>53</v>
      </c>
      <c r="B57" s="7" t="s">
        <v>141</v>
      </c>
      <c r="C57" s="17" t="n">
        <v>9</v>
      </c>
      <c r="D57" s="17" t="n">
        <v>9</v>
      </c>
      <c r="E57" s="18" t="n">
        <v>166</v>
      </c>
      <c r="F57" s="19" t="n">
        <v>636.55</v>
      </c>
      <c r="G57" s="19" t="n">
        <f aca="false">D57*(new_rate-cur_rate)</f>
        <v>54</v>
      </c>
      <c r="H57" s="19" t="n">
        <f aca="false">F57+G57</f>
        <v>690.55</v>
      </c>
      <c r="I57" s="19" t="n">
        <f aca="false">sub_fee</f>
        <v>275</v>
      </c>
      <c r="J57" s="19" t="n">
        <f aca="false">MAX(0, E57-sub_lbs)*sub_overage</f>
        <v>198</v>
      </c>
      <c r="K57" s="19" t="n">
        <f aca="false">I57+J57</f>
        <v>473</v>
      </c>
      <c r="L57" s="20" t="str">
        <f aca="false">IF(K57&lt;H57,"Yes — saves $"&amp;TEXT(H57-K57,"0"),"No")</f>
        <v>Yes — saves $218</v>
      </c>
    </row>
    <row r="58" customFormat="false" ht="15" hidden="false" customHeight="false" outlineLevel="0" collapsed="false">
      <c r="A58" s="7" t="n">
        <v>54</v>
      </c>
      <c r="B58" s="7" t="s">
        <v>142</v>
      </c>
      <c r="C58" s="17" t="n">
        <v>5</v>
      </c>
      <c r="D58" s="17" t="n">
        <v>5</v>
      </c>
      <c r="E58" s="18" t="n">
        <v>166</v>
      </c>
      <c r="F58" s="19" t="n">
        <v>462.75</v>
      </c>
      <c r="G58" s="19" t="n">
        <f aca="false">D58*(new_rate-cur_rate)</f>
        <v>30</v>
      </c>
      <c r="H58" s="19" t="n">
        <f aca="false">F58+G58</f>
        <v>492.75</v>
      </c>
      <c r="I58" s="19" t="n">
        <f aca="false">sub_fee</f>
        <v>275</v>
      </c>
      <c r="J58" s="19" t="n">
        <f aca="false">MAX(0, E58-sub_lbs)*sub_overage</f>
        <v>198</v>
      </c>
      <c r="K58" s="19" t="n">
        <f aca="false">I58+J58</f>
        <v>473</v>
      </c>
      <c r="L58" s="20" t="str">
        <f aca="false">IF(K58&lt;H58,"Yes — saves $"&amp;TEXT(H58-K58,"0"),"No")</f>
        <v>Yes — saves $20</v>
      </c>
    </row>
    <row r="59" customFormat="false" ht="15" hidden="false" customHeight="false" outlineLevel="0" collapsed="false">
      <c r="A59" s="7" t="n">
        <v>55</v>
      </c>
      <c r="B59" s="7" t="s">
        <v>143</v>
      </c>
      <c r="C59" s="17" t="n">
        <v>2</v>
      </c>
      <c r="D59" s="17" t="n">
        <v>7</v>
      </c>
      <c r="E59" s="18" t="n">
        <v>165</v>
      </c>
      <c r="F59" s="19" t="n">
        <v>432.9</v>
      </c>
      <c r="G59" s="19" t="n">
        <f aca="false">D59*(new_rate-cur_rate)</f>
        <v>42</v>
      </c>
      <c r="H59" s="19" t="n">
        <f aca="false">F59+G59</f>
        <v>474.9</v>
      </c>
      <c r="I59" s="19" t="n">
        <f aca="false">sub_fee</f>
        <v>275</v>
      </c>
      <c r="J59" s="19" t="n">
        <f aca="false">MAX(0, E59-sub_lbs)*sub_overage</f>
        <v>195</v>
      </c>
      <c r="K59" s="19" t="n">
        <f aca="false">I59+J59</f>
        <v>470</v>
      </c>
      <c r="L59" s="20" t="str">
        <f aca="false">IF(K59&lt;H59,"Yes — saves $"&amp;TEXT(H59-K59,"0"),"No")</f>
        <v>Yes — saves $5</v>
      </c>
    </row>
    <row r="60" customFormat="false" ht="15" hidden="false" customHeight="false" outlineLevel="0" collapsed="false">
      <c r="A60" s="7" t="n">
        <v>56</v>
      </c>
      <c r="B60" s="7" t="s">
        <v>144</v>
      </c>
      <c r="C60" s="17" t="n">
        <v>5</v>
      </c>
      <c r="D60" s="17" t="n">
        <v>5</v>
      </c>
      <c r="E60" s="18" t="n">
        <v>164</v>
      </c>
      <c r="F60" s="19" t="n">
        <v>461.75</v>
      </c>
      <c r="G60" s="19" t="n">
        <f aca="false">D60*(new_rate-cur_rate)</f>
        <v>30</v>
      </c>
      <c r="H60" s="19" t="n">
        <f aca="false">F60+G60</f>
        <v>491.75</v>
      </c>
      <c r="I60" s="19" t="n">
        <f aca="false">sub_fee</f>
        <v>275</v>
      </c>
      <c r="J60" s="19" t="n">
        <f aca="false">MAX(0, E60-sub_lbs)*sub_overage</f>
        <v>192</v>
      </c>
      <c r="K60" s="19" t="n">
        <f aca="false">I60+J60</f>
        <v>467</v>
      </c>
      <c r="L60" s="20" t="str">
        <f aca="false">IF(K60&lt;H60,"Yes — saves $"&amp;TEXT(H60-K60,"0"),"No")</f>
        <v>Yes — saves $25</v>
      </c>
    </row>
    <row r="61" customFormat="false" ht="15" hidden="false" customHeight="false" outlineLevel="0" collapsed="false">
      <c r="A61" s="7" t="n">
        <v>57</v>
      </c>
      <c r="B61" s="7" t="s">
        <v>145</v>
      </c>
      <c r="C61" s="17" t="n">
        <v>6</v>
      </c>
      <c r="D61" s="17" t="n">
        <v>6</v>
      </c>
      <c r="E61" s="18" t="n">
        <v>162</v>
      </c>
      <c r="F61" s="19" t="n">
        <v>452.7</v>
      </c>
      <c r="G61" s="19" t="n">
        <f aca="false">D61*(new_rate-cur_rate)</f>
        <v>36</v>
      </c>
      <c r="H61" s="19" t="n">
        <f aca="false">F61+G61</f>
        <v>488.7</v>
      </c>
      <c r="I61" s="19" t="n">
        <f aca="false">sub_fee</f>
        <v>275</v>
      </c>
      <c r="J61" s="19" t="n">
        <f aca="false">MAX(0, E61-sub_lbs)*sub_overage</f>
        <v>186</v>
      </c>
      <c r="K61" s="19" t="n">
        <f aca="false">I61+J61</f>
        <v>461</v>
      </c>
      <c r="L61" s="20" t="str">
        <f aca="false">IF(K61&lt;H61,"Yes — saves $"&amp;TEXT(H61-K61,"0"),"No")</f>
        <v>Yes — saves $28</v>
      </c>
    </row>
    <row r="62" customFormat="false" ht="15" hidden="false" customHeight="false" outlineLevel="0" collapsed="false">
      <c r="A62" s="7" t="n">
        <v>58</v>
      </c>
      <c r="B62" s="7" t="s">
        <v>146</v>
      </c>
      <c r="C62" s="17" t="n">
        <v>5</v>
      </c>
      <c r="D62" s="17" t="n">
        <v>5</v>
      </c>
      <c r="E62" s="18" t="n">
        <v>160</v>
      </c>
      <c r="F62" s="19" t="n">
        <v>429.75</v>
      </c>
      <c r="G62" s="19" t="n">
        <f aca="false">D62*(new_rate-cur_rate)</f>
        <v>30</v>
      </c>
      <c r="H62" s="19" t="n">
        <f aca="false">F62+G62</f>
        <v>459.75</v>
      </c>
      <c r="I62" s="19" t="n">
        <f aca="false">sub_fee</f>
        <v>275</v>
      </c>
      <c r="J62" s="19" t="n">
        <f aca="false">MAX(0, E62-sub_lbs)*sub_overage</f>
        <v>180</v>
      </c>
      <c r="K62" s="19" t="n">
        <f aca="false">I62+J62</f>
        <v>455</v>
      </c>
      <c r="L62" s="20" t="str">
        <f aca="false">IF(K62&lt;H62,"Yes — saves $"&amp;TEXT(H62-K62,"0"),"No")</f>
        <v>Yes — saves $5</v>
      </c>
    </row>
    <row r="63" customFormat="false" ht="15" hidden="false" customHeight="false" outlineLevel="0" collapsed="false">
      <c r="A63" s="7" t="n">
        <v>59</v>
      </c>
      <c r="B63" s="7" t="s">
        <v>147</v>
      </c>
      <c r="C63" s="17" t="n">
        <v>4</v>
      </c>
      <c r="D63" s="17" t="n">
        <v>4</v>
      </c>
      <c r="E63" s="18" t="n">
        <v>160</v>
      </c>
      <c r="F63" s="19" t="n">
        <v>435.8</v>
      </c>
      <c r="G63" s="19" t="n">
        <f aca="false">D63*(new_rate-cur_rate)</f>
        <v>24</v>
      </c>
      <c r="H63" s="19" t="n">
        <f aca="false">F63+G63</f>
        <v>459.8</v>
      </c>
      <c r="I63" s="19" t="n">
        <f aca="false">sub_fee</f>
        <v>275</v>
      </c>
      <c r="J63" s="19" t="n">
        <f aca="false">MAX(0, E63-sub_lbs)*sub_overage</f>
        <v>180</v>
      </c>
      <c r="K63" s="19" t="n">
        <f aca="false">I63+J63</f>
        <v>455</v>
      </c>
      <c r="L63" s="20" t="str">
        <f aca="false">IF(K63&lt;H63,"Yes — saves $"&amp;TEXT(H63-K63,"0"),"No")</f>
        <v>Yes — saves $5</v>
      </c>
    </row>
    <row r="64" customFormat="false" ht="15" hidden="false" customHeight="false" outlineLevel="0" collapsed="false">
      <c r="A64" s="7" t="n">
        <v>60</v>
      </c>
      <c r="B64" s="7" t="s">
        <v>148</v>
      </c>
      <c r="C64" s="17" t="n">
        <v>4</v>
      </c>
      <c r="D64" s="17" t="n">
        <v>7</v>
      </c>
      <c r="E64" s="18" t="n">
        <v>158</v>
      </c>
      <c r="F64" s="19" t="n">
        <v>438.8</v>
      </c>
      <c r="G64" s="19" t="n">
        <f aca="false">D64*(new_rate-cur_rate)</f>
        <v>42</v>
      </c>
      <c r="H64" s="19" t="n">
        <f aca="false">F64+G64</f>
        <v>480.8</v>
      </c>
      <c r="I64" s="19" t="n">
        <f aca="false">sub_fee</f>
        <v>275</v>
      </c>
      <c r="J64" s="19" t="n">
        <f aca="false">MAX(0, E64-sub_lbs)*sub_overage</f>
        <v>174</v>
      </c>
      <c r="K64" s="19" t="n">
        <f aca="false">I64+J64</f>
        <v>449</v>
      </c>
      <c r="L64" s="20" t="str">
        <f aca="false">IF(K64&lt;H64,"Yes — saves $"&amp;TEXT(H64-K64,"0"),"No")</f>
        <v>Yes — saves $32</v>
      </c>
    </row>
    <row r="65" customFormat="false" ht="15" hidden="false" customHeight="false" outlineLevel="0" collapsed="false">
      <c r="A65" s="7" t="n">
        <v>61</v>
      </c>
      <c r="B65" s="7" t="s">
        <v>149</v>
      </c>
      <c r="C65" s="17" t="n">
        <v>5</v>
      </c>
      <c r="D65" s="17" t="n">
        <v>5</v>
      </c>
      <c r="E65" s="18" t="n">
        <v>154</v>
      </c>
      <c r="F65" s="19" t="n">
        <v>432.75</v>
      </c>
      <c r="G65" s="19" t="n">
        <f aca="false">D65*(new_rate-cur_rate)</f>
        <v>30</v>
      </c>
      <c r="H65" s="19" t="n">
        <f aca="false">F65+G65</f>
        <v>462.75</v>
      </c>
      <c r="I65" s="19" t="n">
        <f aca="false">sub_fee</f>
        <v>275</v>
      </c>
      <c r="J65" s="19" t="n">
        <f aca="false">MAX(0, E65-sub_lbs)*sub_overage</f>
        <v>162</v>
      </c>
      <c r="K65" s="19" t="n">
        <f aca="false">I65+J65</f>
        <v>437</v>
      </c>
      <c r="L65" s="20" t="str">
        <f aca="false">IF(K65&lt;H65,"Yes — saves $"&amp;TEXT(H65-K65,"0"),"No")</f>
        <v>Yes — saves $26</v>
      </c>
    </row>
    <row r="66" customFormat="false" ht="15" hidden="false" customHeight="false" outlineLevel="0" collapsed="false">
      <c r="A66" s="7" t="n">
        <v>62</v>
      </c>
      <c r="B66" s="7" t="s">
        <v>150</v>
      </c>
      <c r="C66" s="17" t="n">
        <v>4</v>
      </c>
      <c r="D66" s="17" t="n">
        <v>5</v>
      </c>
      <c r="E66" s="18" t="n">
        <v>154</v>
      </c>
      <c r="F66" s="19" t="n">
        <v>401.8</v>
      </c>
      <c r="G66" s="19" t="n">
        <f aca="false">D66*(new_rate-cur_rate)</f>
        <v>30</v>
      </c>
      <c r="H66" s="19" t="n">
        <f aca="false">F66+G66</f>
        <v>431.8</v>
      </c>
      <c r="I66" s="19" t="n">
        <f aca="false">sub_fee</f>
        <v>275</v>
      </c>
      <c r="J66" s="19" t="n">
        <f aca="false">MAX(0, E66-sub_lbs)*sub_overage</f>
        <v>162</v>
      </c>
      <c r="K66" s="19" t="n">
        <f aca="false">I66+J66</f>
        <v>437</v>
      </c>
      <c r="L66" s="20" t="str">
        <f aca="false">IF(K66&lt;H66,"Yes — saves $"&amp;TEXT(H66-K66,"0"),"No")</f>
        <v>No</v>
      </c>
    </row>
    <row r="67" customFormat="false" ht="15" hidden="false" customHeight="false" outlineLevel="0" collapsed="false">
      <c r="A67" s="7" t="n">
        <v>63</v>
      </c>
      <c r="B67" s="7" t="s">
        <v>151</v>
      </c>
      <c r="C67" s="17" t="n">
        <v>4</v>
      </c>
      <c r="D67" s="17" t="n">
        <v>6</v>
      </c>
      <c r="E67" s="18" t="n">
        <v>153</v>
      </c>
      <c r="F67" s="19" t="n">
        <v>385.8</v>
      </c>
      <c r="G67" s="19" t="n">
        <f aca="false">D67*(new_rate-cur_rate)</f>
        <v>36</v>
      </c>
      <c r="H67" s="19" t="n">
        <f aca="false">F67+G67</f>
        <v>421.8</v>
      </c>
      <c r="I67" s="19" t="n">
        <f aca="false">sub_fee</f>
        <v>275</v>
      </c>
      <c r="J67" s="19" t="n">
        <f aca="false">MAX(0, E67-sub_lbs)*sub_overage</f>
        <v>159</v>
      </c>
      <c r="K67" s="19" t="n">
        <f aca="false">I67+J67</f>
        <v>434</v>
      </c>
      <c r="L67" s="20" t="str">
        <f aca="false">IF(K67&lt;H67,"Yes — saves $"&amp;TEXT(H67-K67,"0"),"No")</f>
        <v>No</v>
      </c>
    </row>
    <row r="68" customFormat="false" ht="15" hidden="false" customHeight="false" outlineLevel="0" collapsed="false">
      <c r="A68" s="7" t="n">
        <v>64</v>
      </c>
      <c r="B68" s="7" t="s">
        <v>152</v>
      </c>
      <c r="C68" s="17" t="n">
        <v>4</v>
      </c>
      <c r="D68" s="17" t="n">
        <v>7</v>
      </c>
      <c r="E68" s="18" t="n">
        <v>151</v>
      </c>
      <c r="F68" s="19" t="n">
        <v>432.8</v>
      </c>
      <c r="G68" s="19" t="n">
        <f aca="false">D68*(new_rate-cur_rate)</f>
        <v>42</v>
      </c>
      <c r="H68" s="19" t="n">
        <f aca="false">F68+G68</f>
        <v>474.8</v>
      </c>
      <c r="I68" s="19" t="n">
        <f aca="false">sub_fee</f>
        <v>275</v>
      </c>
      <c r="J68" s="19" t="n">
        <f aca="false">MAX(0, E68-sub_lbs)*sub_overage</f>
        <v>153</v>
      </c>
      <c r="K68" s="19" t="n">
        <f aca="false">I68+J68</f>
        <v>428</v>
      </c>
      <c r="L68" s="20" t="str">
        <f aca="false">IF(K68&lt;H68,"Yes — saves $"&amp;TEXT(H68-K68,"0"),"No")</f>
        <v>Yes — saves $47</v>
      </c>
    </row>
    <row r="69" customFormat="false" ht="15" hidden="false" customHeight="false" outlineLevel="0" collapsed="false">
      <c r="A69" s="7" t="n">
        <v>65</v>
      </c>
      <c r="B69" s="7" t="s">
        <v>153</v>
      </c>
      <c r="C69" s="17" t="n">
        <v>3</v>
      </c>
      <c r="D69" s="17" t="n">
        <v>8</v>
      </c>
      <c r="E69" s="18" t="n">
        <v>151</v>
      </c>
      <c r="F69" s="19" t="n">
        <v>525.85</v>
      </c>
      <c r="G69" s="19" t="n">
        <f aca="false">D69*(new_rate-cur_rate)</f>
        <v>48</v>
      </c>
      <c r="H69" s="19" t="n">
        <f aca="false">F69+G69</f>
        <v>573.85</v>
      </c>
      <c r="I69" s="19" t="n">
        <f aca="false">sub_fee</f>
        <v>275</v>
      </c>
      <c r="J69" s="19" t="n">
        <f aca="false">MAX(0, E69-sub_lbs)*sub_overage</f>
        <v>153</v>
      </c>
      <c r="K69" s="19" t="n">
        <f aca="false">I69+J69</f>
        <v>428</v>
      </c>
      <c r="L69" s="20" t="str">
        <f aca="false">IF(K69&lt;H69,"Yes — saves $"&amp;TEXT(H69-K69,"0"),"No")</f>
        <v>Yes — saves $146</v>
      </c>
    </row>
    <row r="70" customFormat="false" ht="15" hidden="false" customHeight="false" outlineLevel="0" collapsed="false">
      <c r="A70" s="7" t="n">
        <v>66</v>
      </c>
      <c r="B70" s="7" t="s">
        <v>154</v>
      </c>
      <c r="C70" s="17" t="n">
        <v>2</v>
      </c>
      <c r="D70" s="17" t="n">
        <v>8</v>
      </c>
      <c r="E70" s="18" t="n">
        <v>150</v>
      </c>
      <c r="F70" s="19" t="n">
        <v>529.9</v>
      </c>
      <c r="G70" s="19" t="n">
        <f aca="false">D70*(new_rate-cur_rate)</f>
        <v>48</v>
      </c>
      <c r="H70" s="19" t="n">
        <f aca="false">F70+G70</f>
        <v>577.9</v>
      </c>
      <c r="I70" s="19" t="n">
        <f aca="false">sub_fee</f>
        <v>275</v>
      </c>
      <c r="J70" s="19" t="n">
        <f aca="false">MAX(0, E70-sub_lbs)*sub_overage</f>
        <v>150</v>
      </c>
      <c r="K70" s="19" t="n">
        <f aca="false">I70+J70</f>
        <v>425</v>
      </c>
      <c r="L70" s="20" t="str">
        <f aca="false">IF(K70&lt;H70,"Yes — saves $"&amp;TEXT(H70-K70,"0"),"No")</f>
        <v>Yes — saves $153</v>
      </c>
    </row>
    <row r="71" customFormat="false" ht="15" hidden="false" customHeight="false" outlineLevel="0" collapsed="false">
      <c r="A71" s="7" t="n">
        <v>67</v>
      </c>
      <c r="B71" s="7" t="s">
        <v>155</v>
      </c>
      <c r="C71" s="17" t="n">
        <v>3</v>
      </c>
      <c r="D71" s="17" t="n">
        <v>7</v>
      </c>
      <c r="E71" s="18" t="n">
        <v>150</v>
      </c>
      <c r="F71" s="19" t="n">
        <v>468.85</v>
      </c>
      <c r="G71" s="19" t="n">
        <f aca="false">D71*(new_rate-cur_rate)</f>
        <v>42</v>
      </c>
      <c r="H71" s="19" t="n">
        <f aca="false">F71+G71</f>
        <v>510.85</v>
      </c>
      <c r="I71" s="19" t="n">
        <f aca="false">sub_fee</f>
        <v>275</v>
      </c>
      <c r="J71" s="19" t="n">
        <f aca="false">MAX(0, E71-sub_lbs)*sub_overage</f>
        <v>150</v>
      </c>
      <c r="K71" s="19" t="n">
        <f aca="false">I71+J71</f>
        <v>425</v>
      </c>
      <c r="L71" s="20" t="str">
        <f aca="false">IF(K71&lt;H71,"Yes — saves $"&amp;TEXT(H71-K71,"0"),"No")</f>
        <v>Yes — saves $86</v>
      </c>
    </row>
    <row r="72" customFormat="false" ht="15" hidden="false" customHeight="false" outlineLevel="0" collapsed="false">
      <c r="A72" s="7" t="n">
        <v>68</v>
      </c>
      <c r="B72" s="7" t="s">
        <v>156</v>
      </c>
      <c r="C72" s="17" t="n">
        <v>1</v>
      </c>
      <c r="D72" s="17" t="n">
        <v>7</v>
      </c>
      <c r="E72" s="18" t="n">
        <v>149</v>
      </c>
      <c r="F72" s="19" t="n">
        <v>402.3</v>
      </c>
      <c r="G72" s="19" t="n">
        <f aca="false">D72*(new_rate-cur_rate)</f>
        <v>42</v>
      </c>
      <c r="H72" s="19" t="n">
        <f aca="false">F72+G72</f>
        <v>444.3</v>
      </c>
      <c r="I72" s="19" t="n">
        <f aca="false">sub_fee</f>
        <v>275</v>
      </c>
      <c r="J72" s="19" t="n">
        <f aca="false">MAX(0, E72-sub_lbs)*sub_overage</f>
        <v>147</v>
      </c>
      <c r="K72" s="19" t="n">
        <f aca="false">I72+J72</f>
        <v>422</v>
      </c>
      <c r="L72" s="20" t="str">
        <f aca="false">IF(K72&lt;H72,"Yes — saves $"&amp;TEXT(H72-K72,"0"),"No")</f>
        <v>Yes — saves $22</v>
      </c>
    </row>
    <row r="73" customFormat="false" ht="15" hidden="false" customHeight="false" outlineLevel="0" collapsed="false">
      <c r="A73" s="7" t="n">
        <v>69</v>
      </c>
      <c r="B73" s="7" t="s">
        <v>157</v>
      </c>
      <c r="C73" s="17" t="n">
        <v>4</v>
      </c>
      <c r="D73" s="17" t="n">
        <v>8</v>
      </c>
      <c r="E73" s="18" t="n">
        <v>149</v>
      </c>
      <c r="F73" s="19" t="n">
        <v>519.8</v>
      </c>
      <c r="G73" s="19" t="n">
        <f aca="false">D73*(new_rate-cur_rate)</f>
        <v>48</v>
      </c>
      <c r="H73" s="19" t="n">
        <f aca="false">F73+G73</f>
        <v>567.8</v>
      </c>
      <c r="I73" s="19" t="n">
        <f aca="false">sub_fee</f>
        <v>275</v>
      </c>
      <c r="J73" s="19" t="n">
        <f aca="false">MAX(0, E73-sub_lbs)*sub_overage</f>
        <v>147</v>
      </c>
      <c r="K73" s="19" t="n">
        <f aca="false">I73+J73</f>
        <v>422</v>
      </c>
      <c r="L73" s="20" t="str">
        <f aca="false">IF(K73&lt;H73,"Yes — saves $"&amp;TEXT(H73-K73,"0"),"No")</f>
        <v>Yes — saves $146</v>
      </c>
    </row>
    <row r="74" customFormat="false" ht="15" hidden="false" customHeight="false" outlineLevel="0" collapsed="false">
      <c r="A74" s="7" t="n">
        <v>70</v>
      </c>
      <c r="B74" s="7" t="s">
        <v>158</v>
      </c>
      <c r="C74" s="17" t="n">
        <v>3</v>
      </c>
      <c r="D74" s="17" t="n">
        <v>6</v>
      </c>
      <c r="E74" s="18" t="n">
        <v>143</v>
      </c>
      <c r="F74" s="19" t="n">
        <v>408.85</v>
      </c>
      <c r="G74" s="19" t="n">
        <f aca="false">D74*(new_rate-cur_rate)</f>
        <v>36</v>
      </c>
      <c r="H74" s="19" t="n">
        <f aca="false">F74+G74</f>
        <v>444.85</v>
      </c>
      <c r="I74" s="19" t="n">
        <f aca="false">sub_fee</f>
        <v>275</v>
      </c>
      <c r="J74" s="19" t="n">
        <f aca="false">MAX(0, E74-sub_lbs)*sub_overage</f>
        <v>129</v>
      </c>
      <c r="K74" s="19" t="n">
        <f aca="false">I74+J74</f>
        <v>404</v>
      </c>
      <c r="L74" s="20" t="str">
        <f aca="false">IF(K74&lt;H74,"Yes — saves $"&amp;TEXT(H74-K74,"0"),"No")</f>
        <v>Yes — saves $41</v>
      </c>
    </row>
    <row r="75" customFormat="false" ht="15" hidden="false" customHeight="false" outlineLevel="0" collapsed="false">
      <c r="A75" s="7" t="n">
        <v>71</v>
      </c>
      <c r="B75" s="7" t="s">
        <v>159</v>
      </c>
      <c r="C75" s="17" t="n">
        <v>5</v>
      </c>
      <c r="D75" s="17" t="n">
        <v>5</v>
      </c>
      <c r="E75" s="18" t="n">
        <v>143</v>
      </c>
      <c r="F75" s="19" t="n">
        <v>407.75</v>
      </c>
      <c r="G75" s="19" t="n">
        <f aca="false">D75*(new_rate-cur_rate)</f>
        <v>30</v>
      </c>
      <c r="H75" s="19" t="n">
        <f aca="false">F75+G75</f>
        <v>437.75</v>
      </c>
      <c r="I75" s="19" t="n">
        <f aca="false">sub_fee</f>
        <v>275</v>
      </c>
      <c r="J75" s="19" t="n">
        <f aca="false">MAX(0, E75-sub_lbs)*sub_overage</f>
        <v>129</v>
      </c>
      <c r="K75" s="19" t="n">
        <f aca="false">I75+J75</f>
        <v>404</v>
      </c>
      <c r="L75" s="20" t="str">
        <f aca="false">IF(K75&lt;H75,"Yes — saves $"&amp;TEXT(H75-K75,"0"),"No")</f>
        <v>Yes — saves $34</v>
      </c>
    </row>
    <row r="76" customFormat="false" ht="15" hidden="false" customHeight="false" outlineLevel="0" collapsed="false">
      <c r="A76" s="7" t="n">
        <v>72</v>
      </c>
      <c r="B76" s="7" t="s">
        <v>160</v>
      </c>
      <c r="C76" s="17" t="n">
        <v>4</v>
      </c>
      <c r="D76" s="17" t="n">
        <v>7</v>
      </c>
      <c r="E76" s="18" t="n">
        <v>142</v>
      </c>
      <c r="F76" s="19" t="n">
        <v>444.8</v>
      </c>
      <c r="G76" s="19" t="n">
        <f aca="false">D76*(new_rate-cur_rate)</f>
        <v>42</v>
      </c>
      <c r="H76" s="19" t="n">
        <f aca="false">F76+G76</f>
        <v>486.8</v>
      </c>
      <c r="I76" s="19" t="n">
        <f aca="false">sub_fee</f>
        <v>275</v>
      </c>
      <c r="J76" s="19" t="n">
        <f aca="false">MAX(0, E76-sub_lbs)*sub_overage</f>
        <v>126</v>
      </c>
      <c r="K76" s="19" t="n">
        <f aca="false">I76+J76</f>
        <v>401</v>
      </c>
      <c r="L76" s="20" t="str">
        <f aca="false">IF(K76&lt;H76,"Yes — saves $"&amp;TEXT(H76-K76,"0"),"No")</f>
        <v>Yes — saves $86</v>
      </c>
    </row>
    <row r="77" customFormat="false" ht="15" hidden="false" customHeight="false" outlineLevel="0" collapsed="false">
      <c r="A77" s="7" t="n">
        <v>73</v>
      </c>
      <c r="B77" s="7" t="s">
        <v>161</v>
      </c>
      <c r="C77" s="17" t="n">
        <v>3</v>
      </c>
      <c r="D77" s="17" t="n">
        <v>6</v>
      </c>
      <c r="E77" s="18" t="n">
        <v>142</v>
      </c>
      <c r="F77" s="19" t="n">
        <v>369.85</v>
      </c>
      <c r="G77" s="19" t="n">
        <f aca="false">D77*(new_rate-cur_rate)</f>
        <v>36</v>
      </c>
      <c r="H77" s="19" t="n">
        <f aca="false">F77+G77</f>
        <v>405.85</v>
      </c>
      <c r="I77" s="19" t="n">
        <f aca="false">sub_fee</f>
        <v>275</v>
      </c>
      <c r="J77" s="19" t="n">
        <f aca="false">MAX(0, E77-sub_lbs)*sub_overage</f>
        <v>126</v>
      </c>
      <c r="K77" s="19" t="n">
        <f aca="false">I77+J77</f>
        <v>401</v>
      </c>
      <c r="L77" s="20" t="str">
        <f aca="false">IF(K77&lt;H77,"Yes — saves $"&amp;TEXT(H77-K77,"0"),"No")</f>
        <v>Yes — saves $5</v>
      </c>
    </row>
    <row r="78" customFormat="false" ht="15" hidden="false" customHeight="false" outlineLevel="0" collapsed="false">
      <c r="A78" s="7" t="n">
        <v>74</v>
      </c>
      <c r="B78" s="7" t="s">
        <v>162</v>
      </c>
      <c r="C78" s="17" t="n">
        <v>5</v>
      </c>
      <c r="D78" s="17" t="n">
        <v>5</v>
      </c>
      <c r="E78" s="18" t="n">
        <v>142</v>
      </c>
      <c r="F78" s="19" t="n">
        <v>408.75</v>
      </c>
      <c r="G78" s="19" t="n">
        <f aca="false">D78*(new_rate-cur_rate)</f>
        <v>30</v>
      </c>
      <c r="H78" s="19" t="n">
        <f aca="false">F78+G78</f>
        <v>438.75</v>
      </c>
      <c r="I78" s="19" t="n">
        <f aca="false">sub_fee</f>
        <v>275</v>
      </c>
      <c r="J78" s="19" t="n">
        <f aca="false">MAX(0, E78-sub_lbs)*sub_overage</f>
        <v>126</v>
      </c>
      <c r="K78" s="19" t="n">
        <f aca="false">I78+J78</f>
        <v>401</v>
      </c>
      <c r="L78" s="20" t="str">
        <f aca="false">IF(K78&lt;H78,"Yes — saves $"&amp;TEXT(H78-K78,"0"),"No")</f>
        <v>Yes — saves $38</v>
      </c>
    </row>
    <row r="79" customFormat="false" ht="15" hidden="false" customHeight="false" outlineLevel="0" collapsed="false">
      <c r="A79" s="7" t="n">
        <v>75</v>
      </c>
      <c r="B79" s="7" t="s">
        <v>163</v>
      </c>
      <c r="C79" s="17" t="n">
        <v>4</v>
      </c>
      <c r="D79" s="17" t="n">
        <v>4</v>
      </c>
      <c r="E79" s="18" t="n">
        <v>141</v>
      </c>
      <c r="F79" s="19" t="n">
        <v>410.8</v>
      </c>
      <c r="G79" s="19" t="n">
        <f aca="false">D79*(new_rate-cur_rate)</f>
        <v>24</v>
      </c>
      <c r="H79" s="19" t="n">
        <f aca="false">F79+G79</f>
        <v>434.8</v>
      </c>
      <c r="I79" s="19" t="n">
        <f aca="false">sub_fee</f>
        <v>275</v>
      </c>
      <c r="J79" s="19" t="n">
        <f aca="false">MAX(0, E79-sub_lbs)*sub_overage</f>
        <v>123</v>
      </c>
      <c r="K79" s="19" t="n">
        <f aca="false">I79+J79</f>
        <v>398</v>
      </c>
      <c r="L79" s="20" t="str">
        <f aca="false">IF(K79&lt;H79,"Yes — saves $"&amp;TEXT(H79-K79,"0"),"No")</f>
        <v>Yes — saves $37</v>
      </c>
    </row>
    <row r="80" customFormat="false" ht="15" hidden="false" customHeight="false" outlineLevel="0" collapsed="false">
      <c r="A80" s="7" t="n">
        <v>76</v>
      </c>
      <c r="B80" s="7" t="s">
        <v>164</v>
      </c>
      <c r="C80" s="17" t="n">
        <v>5</v>
      </c>
      <c r="D80" s="17" t="n">
        <v>7</v>
      </c>
      <c r="E80" s="18" t="n">
        <v>141</v>
      </c>
      <c r="F80" s="19" t="n">
        <v>442.75</v>
      </c>
      <c r="G80" s="19" t="n">
        <f aca="false">D80*(new_rate-cur_rate)</f>
        <v>42</v>
      </c>
      <c r="H80" s="19" t="n">
        <f aca="false">F80+G80</f>
        <v>484.75</v>
      </c>
      <c r="I80" s="19" t="n">
        <f aca="false">sub_fee</f>
        <v>275</v>
      </c>
      <c r="J80" s="19" t="n">
        <f aca="false">MAX(0, E80-sub_lbs)*sub_overage</f>
        <v>123</v>
      </c>
      <c r="K80" s="19" t="n">
        <f aca="false">I80+J80</f>
        <v>398</v>
      </c>
      <c r="L80" s="20" t="str">
        <f aca="false">IF(K80&lt;H80,"Yes — saves $"&amp;TEXT(H80-K80,"0"),"No")</f>
        <v>Yes — saves $87</v>
      </c>
    </row>
    <row r="81" customFormat="false" ht="15" hidden="false" customHeight="false" outlineLevel="0" collapsed="false">
      <c r="A81" s="7" t="n">
        <v>77</v>
      </c>
      <c r="B81" s="7" t="s">
        <v>165</v>
      </c>
      <c r="C81" s="17" t="n">
        <v>5</v>
      </c>
      <c r="D81" s="17" t="n">
        <v>8</v>
      </c>
      <c r="E81" s="18" t="n">
        <v>141</v>
      </c>
      <c r="F81" s="19" t="n">
        <v>523.75</v>
      </c>
      <c r="G81" s="19" t="n">
        <f aca="false">D81*(new_rate-cur_rate)</f>
        <v>48</v>
      </c>
      <c r="H81" s="19" t="n">
        <f aca="false">F81+G81</f>
        <v>571.75</v>
      </c>
      <c r="I81" s="19" t="n">
        <f aca="false">sub_fee</f>
        <v>275</v>
      </c>
      <c r="J81" s="19" t="n">
        <f aca="false">MAX(0, E81-sub_lbs)*sub_overage</f>
        <v>123</v>
      </c>
      <c r="K81" s="19" t="n">
        <f aca="false">I81+J81</f>
        <v>398</v>
      </c>
      <c r="L81" s="20" t="str">
        <f aca="false">IF(K81&lt;H81,"Yes — saves $"&amp;TEXT(H81-K81,"0"),"No")</f>
        <v>Yes — saves $174</v>
      </c>
    </row>
    <row r="82" customFormat="false" ht="15" hidden="false" customHeight="false" outlineLevel="0" collapsed="false">
      <c r="A82" s="7" t="n">
        <v>78</v>
      </c>
      <c r="B82" s="7" t="s">
        <v>166</v>
      </c>
      <c r="C82" s="17" t="n">
        <v>4</v>
      </c>
      <c r="D82" s="17" t="n">
        <v>5</v>
      </c>
      <c r="E82" s="18" t="n">
        <v>139</v>
      </c>
      <c r="F82" s="19" t="n">
        <v>391.8</v>
      </c>
      <c r="G82" s="19" t="n">
        <f aca="false">D82*(new_rate-cur_rate)</f>
        <v>30</v>
      </c>
      <c r="H82" s="19" t="n">
        <f aca="false">F82+G82</f>
        <v>421.8</v>
      </c>
      <c r="I82" s="19" t="n">
        <f aca="false">sub_fee</f>
        <v>275</v>
      </c>
      <c r="J82" s="19" t="n">
        <f aca="false">MAX(0, E82-sub_lbs)*sub_overage</f>
        <v>117</v>
      </c>
      <c r="K82" s="19" t="n">
        <f aca="false">I82+J82</f>
        <v>392</v>
      </c>
      <c r="L82" s="20" t="str">
        <f aca="false">IF(K82&lt;H82,"Yes — saves $"&amp;TEXT(H82-K82,"0"),"No")</f>
        <v>Yes — saves $30</v>
      </c>
    </row>
    <row r="83" customFormat="false" ht="15" hidden="false" customHeight="false" outlineLevel="0" collapsed="false">
      <c r="A83" s="7" t="n">
        <v>79</v>
      </c>
      <c r="B83" s="7" t="s">
        <v>167</v>
      </c>
      <c r="C83" s="17" t="n">
        <v>4</v>
      </c>
      <c r="D83" s="17" t="n">
        <v>5</v>
      </c>
      <c r="E83" s="18" t="n">
        <v>138</v>
      </c>
      <c r="F83" s="19" t="n">
        <v>394.8</v>
      </c>
      <c r="G83" s="19" t="n">
        <f aca="false">D83*(new_rate-cur_rate)</f>
        <v>30</v>
      </c>
      <c r="H83" s="19" t="n">
        <f aca="false">F83+G83</f>
        <v>424.8</v>
      </c>
      <c r="I83" s="19" t="n">
        <f aca="false">sub_fee</f>
        <v>275</v>
      </c>
      <c r="J83" s="19" t="n">
        <f aca="false">MAX(0, E83-sub_lbs)*sub_overage</f>
        <v>114</v>
      </c>
      <c r="K83" s="19" t="n">
        <f aca="false">I83+J83</f>
        <v>389</v>
      </c>
      <c r="L83" s="20" t="str">
        <f aca="false">IF(K83&lt;H83,"Yes — saves $"&amp;TEXT(H83-K83,"0"),"No")</f>
        <v>Yes — saves $36</v>
      </c>
    </row>
    <row r="84" customFormat="false" ht="15" hidden="false" customHeight="false" outlineLevel="0" collapsed="false">
      <c r="A84" s="7" t="n">
        <v>80</v>
      </c>
      <c r="B84" s="7" t="s">
        <v>168</v>
      </c>
      <c r="C84" s="17" t="n">
        <v>5</v>
      </c>
      <c r="D84" s="17" t="n">
        <v>5</v>
      </c>
      <c r="E84" s="18" t="n">
        <v>137</v>
      </c>
      <c r="F84" s="19" t="n">
        <v>360.75</v>
      </c>
      <c r="G84" s="19" t="n">
        <f aca="false">D84*(new_rate-cur_rate)</f>
        <v>30</v>
      </c>
      <c r="H84" s="19" t="n">
        <f aca="false">F84+G84</f>
        <v>390.75</v>
      </c>
      <c r="I84" s="19" t="n">
        <f aca="false">sub_fee</f>
        <v>275</v>
      </c>
      <c r="J84" s="19" t="n">
        <f aca="false">MAX(0, E84-sub_lbs)*sub_overage</f>
        <v>111</v>
      </c>
      <c r="K84" s="19" t="n">
        <f aca="false">I84+J84</f>
        <v>386</v>
      </c>
      <c r="L84" s="20" t="str">
        <f aca="false">IF(K84&lt;H84,"Yes — saves $"&amp;TEXT(H84-K84,"0"),"No")</f>
        <v>Yes — saves $5</v>
      </c>
    </row>
    <row r="85" customFormat="false" ht="15" hidden="false" customHeight="false" outlineLevel="0" collapsed="false">
      <c r="A85" s="7" t="n">
        <v>81</v>
      </c>
      <c r="B85" s="7" t="s">
        <v>169</v>
      </c>
      <c r="C85" s="17" t="n">
        <v>3</v>
      </c>
      <c r="D85" s="17" t="n">
        <v>6</v>
      </c>
      <c r="E85" s="18" t="n">
        <v>137</v>
      </c>
      <c r="F85" s="19" t="n">
        <v>363.85</v>
      </c>
      <c r="G85" s="19" t="n">
        <f aca="false">D85*(new_rate-cur_rate)</f>
        <v>36</v>
      </c>
      <c r="H85" s="19" t="n">
        <f aca="false">F85+G85</f>
        <v>399.85</v>
      </c>
      <c r="I85" s="19" t="n">
        <f aca="false">sub_fee</f>
        <v>275</v>
      </c>
      <c r="J85" s="19" t="n">
        <f aca="false">MAX(0, E85-sub_lbs)*sub_overage</f>
        <v>111</v>
      </c>
      <c r="K85" s="19" t="n">
        <f aca="false">I85+J85</f>
        <v>386</v>
      </c>
      <c r="L85" s="20" t="str">
        <f aca="false">IF(K85&lt;H85,"Yes — saves $"&amp;TEXT(H85-K85,"0"),"No")</f>
        <v>Yes — saves $14</v>
      </c>
    </row>
    <row r="86" customFormat="false" ht="15" hidden="false" customHeight="false" outlineLevel="0" collapsed="false">
      <c r="A86" s="7" t="n">
        <v>82</v>
      </c>
      <c r="B86" s="7" t="s">
        <v>170</v>
      </c>
      <c r="C86" s="17" t="n">
        <v>5</v>
      </c>
      <c r="D86" s="17" t="n">
        <v>10</v>
      </c>
      <c r="E86" s="18" t="n">
        <v>136</v>
      </c>
      <c r="F86" s="19" t="n">
        <v>799.75</v>
      </c>
      <c r="G86" s="19" t="n">
        <f aca="false">D86*(new_rate-cur_rate)</f>
        <v>60</v>
      </c>
      <c r="H86" s="19" t="n">
        <f aca="false">F86+G86</f>
        <v>859.75</v>
      </c>
      <c r="I86" s="19" t="n">
        <f aca="false">sub_fee</f>
        <v>275</v>
      </c>
      <c r="J86" s="19" t="n">
        <f aca="false">MAX(0, E86-sub_lbs)*sub_overage</f>
        <v>108</v>
      </c>
      <c r="K86" s="19" t="n">
        <f aca="false">I86+J86</f>
        <v>383</v>
      </c>
      <c r="L86" s="20" t="str">
        <f aca="false">IF(K86&lt;H86,"Yes — saves $"&amp;TEXT(H86-K86,"0"),"No")</f>
        <v>Yes — saves $477</v>
      </c>
    </row>
    <row r="87" customFormat="false" ht="15" hidden="false" customHeight="false" outlineLevel="0" collapsed="false">
      <c r="A87" s="7" t="n">
        <v>83</v>
      </c>
      <c r="B87" s="7" t="s">
        <v>171</v>
      </c>
      <c r="C87" s="17" t="n">
        <v>6</v>
      </c>
      <c r="D87" s="17" t="n">
        <v>8</v>
      </c>
      <c r="E87" s="18" t="n">
        <v>135</v>
      </c>
      <c r="F87" s="19" t="n">
        <v>544.7</v>
      </c>
      <c r="G87" s="19" t="n">
        <f aca="false">D87*(new_rate-cur_rate)</f>
        <v>48</v>
      </c>
      <c r="H87" s="19" t="n">
        <f aca="false">F87+G87</f>
        <v>592.7</v>
      </c>
      <c r="I87" s="19" t="n">
        <f aca="false">sub_fee</f>
        <v>275</v>
      </c>
      <c r="J87" s="19" t="n">
        <f aca="false">MAX(0, E87-sub_lbs)*sub_overage</f>
        <v>105</v>
      </c>
      <c r="K87" s="19" t="n">
        <f aca="false">I87+J87</f>
        <v>380</v>
      </c>
      <c r="L87" s="20" t="str">
        <f aca="false">IF(K87&lt;H87,"Yes — saves $"&amp;TEXT(H87-K87,"0"),"No")</f>
        <v>Yes — saves $213</v>
      </c>
    </row>
    <row r="88" customFormat="false" ht="15" hidden="false" customHeight="false" outlineLevel="0" collapsed="false">
      <c r="A88" s="7" t="n">
        <v>84</v>
      </c>
      <c r="B88" s="7" t="s">
        <v>172</v>
      </c>
      <c r="C88" s="17" t="n">
        <v>2</v>
      </c>
      <c r="D88" s="17" t="n">
        <v>5</v>
      </c>
      <c r="E88" s="18" t="n">
        <v>133</v>
      </c>
      <c r="F88" s="19" t="n">
        <v>336.9</v>
      </c>
      <c r="G88" s="19" t="n">
        <f aca="false">D88*(new_rate-cur_rate)</f>
        <v>30</v>
      </c>
      <c r="H88" s="19" t="n">
        <f aca="false">F88+G88</f>
        <v>366.9</v>
      </c>
      <c r="I88" s="19" t="n">
        <f aca="false">sub_fee</f>
        <v>275</v>
      </c>
      <c r="J88" s="19" t="n">
        <f aca="false">MAX(0, E88-sub_lbs)*sub_overage</f>
        <v>99</v>
      </c>
      <c r="K88" s="19" t="n">
        <f aca="false">I88+J88</f>
        <v>374</v>
      </c>
      <c r="L88" s="20" t="str">
        <f aca="false">IF(K88&lt;H88,"Yes — saves $"&amp;TEXT(H88-K88,"0"),"No")</f>
        <v>No</v>
      </c>
    </row>
    <row r="89" customFormat="false" ht="15" hidden="false" customHeight="false" outlineLevel="0" collapsed="false">
      <c r="A89" s="7" t="n">
        <v>85</v>
      </c>
      <c r="B89" s="7" t="s">
        <v>173</v>
      </c>
      <c r="C89" s="17" t="n">
        <v>4</v>
      </c>
      <c r="D89" s="17" t="n">
        <v>4</v>
      </c>
      <c r="E89" s="18" t="n">
        <v>133</v>
      </c>
      <c r="F89" s="19" t="n">
        <v>364.8</v>
      </c>
      <c r="G89" s="19" t="n">
        <f aca="false">D89*(new_rate-cur_rate)</f>
        <v>24</v>
      </c>
      <c r="H89" s="19" t="n">
        <f aca="false">F89+G89</f>
        <v>388.8</v>
      </c>
      <c r="I89" s="19" t="n">
        <f aca="false">sub_fee</f>
        <v>275</v>
      </c>
      <c r="J89" s="19" t="n">
        <f aca="false">MAX(0, E89-sub_lbs)*sub_overage</f>
        <v>99</v>
      </c>
      <c r="K89" s="19" t="n">
        <f aca="false">I89+J89</f>
        <v>374</v>
      </c>
      <c r="L89" s="20" t="str">
        <f aca="false">IF(K89&lt;H89,"Yes — saves $"&amp;TEXT(H89-K89,"0"),"No")</f>
        <v>Yes — saves $15</v>
      </c>
    </row>
    <row r="90" customFormat="false" ht="15" hidden="false" customHeight="false" outlineLevel="0" collapsed="false">
      <c r="A90" s="7" t="n">
        <v>86</v>
      </c>
      <c r="B90" s="7" t="s">
        <v>174</v>
      </c>
      <c r="C90" s="17" t="n">
        <v>4</v>
      </c>
      <c r="D90" s="17" t="n">
        <v>7</v>
      </c>
      <c r="E90" s="18" t="n">
        <v>133</v>
      </c>
      <c r="F90" s="19" t="n">
        <v>452.8</v>
      </c>
      <c r="G90" s="19" t="n">
        <f aca="false">D90*(new_rate-cur_rate)</f>
        <v>42</v>
      </c>
      <c r="H90" s="19" t="n">
        <f aca="false">F90+G90</f>
        <v>494.8</v>
      </c>
      <c r="I90" s="19" t="n">
        <f aca="false">sub_fee</f>
        <v>275</v>
      </c>
      <c r="J90" s="19" t="n">
        <f aca="false">MAX(0, E90-sub_lbs)*sub_overage</f>
        <v>99</v>
      </c>
      <c r="K90" s="19" t="n">
        <f aca="false">I90+J90</f>
        <v>374</v>
      </c>
      <c r="L90" s="20" t="str">
        <f aca="false">IF(K90&lt;H90,"Yes — saves $"&amp;TEXT(H90-K90,"0"),"No")</f>
        <v>Yes — saves $121</v>
      </c>
    </row>
    <row r="91" customFormat="false" ht="15" hidden="false" customHeight="false" outlineLevel="0" collapsed="false">
      <c r="A91" s="7" t="n">
        <v>87</v>
      </c>
      <c r="B91" s="7" t="s">
        <v>175</v>
      </c>
      <c r="C91" s="17" t="n">
        <v>5</v>
      </c>
      <c r="D91" s="17" t="n">
        <v>5</v>
      </c>
      <c r="E91" s="18" t="n">
        <v>132</v>
      </c>
      <c r="F91" s="19" t="n">
        <v>354.75</v>
      </c>
      <c r="G91" s="19" t="n">
        <f aca="false">D91*(new_rate-cur_rate)</f>
        <v>30</v>
      </c>
      <c r="H91" s="19" t="n">
        <f aca="false">F91+G91</f>
        <v>384.75</v>
      </c>
      <c r="I91" s="19" t="n">
        <f aca="false">sub_fee</f>
        <v>275</v>
      </c>
      <c r="J91" s="19" t="n">
        <f aca="false">MAX(0, E91-sub_lbs)*sub_overage</f>
        <v>96</v>
      </c>
      <c r="K91" s="19" t="n">
        <f aca="false">I91+J91</f>
        <v>371</v>
      </c>
      <c r="L91" s="20" t="str">
        <f aca="false">IF(K91&lt;H91,"Yes — saves $"&amp;TEXT(H91-K91,"0"),"No")</f>
        <v>Yes — saves $14</v>
      </c>
    </row>
    <row r="92" customFormat="false" ht="15" hidden="false" customHeight="false" outlineLevel="0" collapsed="false">
      <c r="A92" s="7" t="n">
        <v>88</v>
      </c>
      <c r="B92" s="7" t="s">
        <v>176</v>
      </c>
      <c r="C92" s="17" t="n">
        <v>5</v>
      </c>
      <c r="D92" s="17" t="n">
        <v>5</v>
      </c>
      <c r="E92" s="18" t="n">
        <v>129</v>
      </c>
      <c r="F92" s="19" t="n">
        <v>374.9</v>
      </c>
      <c r="G92" s="19" t="n">
        <f aca="false">D92*(new_rate-cur_rate)</f>
        <v>30</v>
      </c>
      <c r="H92" s="19" t="n">
        <f aca="false">F92+G92</f>
        <v>404.9</v>
      </c>
      <c r="I92" s="19" t="n">
        <f aca="false">sub_fee</f>
        <v>275</v>
      </c>
      <c r="J92" s="19" t="n">
        <f aca="false">MAX(0, E92-sub_lbs)*sub_overage</f>
        <v>87</v>
      </c>
      <c r="K92" s="19" t="n">
        <f aca="false">I92+J92</f>
        <v>362</v>
      </c>
      <c r="L92" s="20" t="str">
        <f aca="false">IF(K92&lt;H92,"Yes — saves $"&amp;TEXT(H92-K92,"0"),"No")</f>
        <v>Yes — saves $43</v>
      </c>
    </row>
    <row r="93" customFormat="false" ht="15" hidden="false" customHeight="false" outlineLevel="0" collapsed="false">
      <c r="A93" s="7" t="n">
        <v>89</v>
      </c>
      <c r="B93" s="7" t="s">
        <v>177</v>
      </c>
      <c r="C93" s="17" t="n">
        <v>2</v>
      </c>
      <c r="D93" s="17" t="n">
        <v>4</v>
      </c>
      <c r="E93" s="18" t="n">
        <v>128</v>
      </c>
      <c r="F93" s="19" t="n">
        <v>331.9</v>
      </c>
      <c r="G93" s="19" t="n">
        <f aca="false">D93*(new_rate-cur_rate)</f>
        <v>24</v>
      </c>
      <c r="H93" s="19" t="n">
        <f aca="false">F93+G93</f>
        <v>355.9</v>
      </c>
      <c r="I93" s="19" t="n">
        <f aca="false">sub_fee</f>
        <v>275</v>
      </c>
      <c r="J93" s="19" t="n">
        <f aca="false">MAX(0, E93-sub_lbs)*sub_overage</f>
        <v>84</v>
      </c>
      <c r="K93" s="19" t="n">
        <f aca="false">I93+J93</f>
        <v>359</v>
      </c>
      <c r="L93" s="20" t="str">
        <f aca="false">IF(K93&lt;H93,"Yes — saves $"&amp;TEXT(H93-K93,"0"),"No")</f>
        <v>No</v>
      </c>
    </row>
    <row r="94" customFormat="false" ht="15" hidden="false" customHeight="false" outlineLevel="0" collapsed="false">
      <c r="A94" s="7" t="n">
        <v>90</v>
      </c>
      <c r="B94" s="7" t="s">
        <v>178</v>
      </c>
      <c r="C94" s="17" t="n">
        <v>5</v>
      </c>
      <c r="D94" s="17" t="n">
        <v>5</v>
      </c>
      <c r="E94" s="18" t="n">
        <v>127</v>
      </c>
      <c r="F94" s="19" t="n">
        <v>368.75</v>
      </c>
      <c r="G94" s="19" t="n">
        <f aca="false">D94*(new_rate-cur_rate)</f>
        <v>30</v>
      </c>
      <c r="H94" s="19" t="n">
        <f aca="false">F94+G94</f>
        <v>398.75</v>
      </c>
      <c r="I94" s="19" t="n">
        <f aca="false">sub_fee</f>
        <v>275</v>
      </c>
      <c r="J94" s="19" t="n">
        <f aca="false">MAX(0, E94-sub_lbs)*sub_overage</f>
        <v>81</v>
      </c>
      <c r="K94" s="19" t="n">
        <f aca="false">I94+J94</f>
        <v>356</v>
      </c>
      <c r="L94" s="20" t="str">
        <f aca="false">IF(K94&lt;H94,"Yes — saves $"&amp;TEXT(H94-K94,"0"),"No")</f>
        <v>Yes — saves $43</v>
      </c>
    </row>
    <row r="95" customFormat="false" ht="15" hidden="false" customHeight="false" outlineLevel="0" collapsed="false">
      <c r="A95" s="7" t="n">
        <v>91</v>
      </c>
      <c r="B95" s="7" t="s">
        <v>179</v>
      </c>
      <c r="C95" s="17" t="n">
        <v>4</v>
      </c>
      <c r="D95" s="17" t="n">
        <v>8</v>
      </c>
      <c r="E95" s="18" t="n">
        <v>126</v>
      </c>
      <c r="F95" s="19" t="n">
        <v>491.8</v>
      </c>
      <c r="G95" s="19" t="n">
        <f aca="false">D95*(new_rate-cur_rate)</f>
        <v>48</v>
      </c>
      <c r="H95" s="19" t="n">
        <f aca="false">F95+G95</f>
        <v>539.8</v>
      </c>
      <c r="I95" s="19" t="n">
        <f aca="false">sub_fee</f>
        <v>275</v>
      </c>
      <c r="J95" s="19" t="n">
        <f aca="false">MAX(0, E95-sub_lbs)*sub_overage</f>
        <v>78</v>
      </c>
      <c r="K95" s="19" t="n">
        <f aca="false">I95+J95</f>
        <v>353</v>
      </c>
      <c r="L95" s="20" t="str">
        <f aca="false">IF(K95&lt;H95,"Yes — saves $"&amp;TEXT(H95-K95,"0"),"No")</f>
        <v>Yes — saves $187</v>
      </c>
    </row>
    <row r="96" customFormat="false" ht="15" hidden="false" customHeight="false" outlineLevel="0" collapsed="false">
      <c r="A96" s="7" t="n">
        <v>92</v>
      </c>
      <c r="B96" s="7" t="s">
        <v>180</v>
      </c>
      <c r="C96" s="17" t="n">
        <v>4</v>
      </c>
      <c r="D96" s="17" t="n">
        <v>4</v>
      </c>
      <c r="E96" s="18" t="n">
        <v>123</v>
      </c>
      <c r="F96" s="19" t="n">
        <v>336.8</v>
      </c>
      <c r="G96" s="19" t="n">
        <f aca="false">D96*(new_rate-cur_rate)</f>
        <v>24</v>
      </c>
      <c r="H96" s="19" t="n">
        <f aca="false">F96+G96</f>
        <v>360.8</v>
      </c>
      <c r="I96" s="19" t="n">
        <f aca="false">sub_fee</f>
        <v>275</v>
      </c>
      <c r="J96" s="19" t="n">
        <f aca="false">MAX(0, E96-sub_lbs)*sub_overage</f>
        <v>69</v>
      </c>
      <c r="K96" s="19" t="n">
        <f aca="false">I96+J96</f>
        <v>344</v>
      </c>
      <c r="L96" s="20" t="str">
        <f aca="false">IF(K96&lt;H96,"Yes — saves $"&amp;TEXT(H96-K96,"0"),"No")</f>
        <v>Yes — saves $17</v>
      </c>
    </row>
    <row r="97" customFormat="false" ht="15" hidden="false" customHeight="false" outlineLevel="0" collapsed="false">
      <c r="A97" s="7" t="n">
        <v>93</v>
      </c>
      <c r="B97" s="7" t="s">
        <v>181</v>
      </c>
      <c r="C97" s="17" t="n">
        <v>3</v>
      </c>
      <c r="D97" s="17" t="n">
        <v>5</v>
      </c>
      <c r="E97" s="18" t="n">
        <v>123</v>
      </c>
      <c r="F97" s="19" t="n">
        <v>396.85</v>
      </c>
      <c r="G97" s="19" t="n">
        <f aca="false">D97*(new_rate-cur_rate)</f>
        <v>30</v>
      </c>
      <c r="H97" s="19" t="n">
        <f aca="false">F97+G97</f>
        <v>426.85</v>
      </c>
      <c r="I97" s="19" t="n">
        <f aca="false">sub_fee</f>
        <v>275</v>
      </c>
      <c r="J97" s="19" t="n">
        <f aca="false">MAX(0, E97-sub_lbs)*sub_overage</f>
        <v>69</v>
      </c>
      <c r="K97" s="19" t="n">
        <f aca="false">I97+J97</f>
        <v>344</v>
      </c>
      <c r="L97" s="20" t="str">
        <f aca="false">IF(K97&lt;H97,"Yes — saves $"&amp;TEXT(H97-K97,"0"),"No")</f>
        <v>Yes — saves $83</v>
      </c>
    </row>
    <row r="98" customFormat="false" ht="15" hidden="false" customHeight="false" outlineLevel="0" collapsed="false">
      <c r="A98" s="7" t="n">
        <v>94</v>
      </c>
      <c r="B98" s="7" t="s">
        <v>182</v>
      </c>
      <c r="C98" s="17" t="n">
        <v>3</v>
      </c>
      <c r="D98" s="17" t="n">
        <v>5</v>
      </c>
      <c r="E98" s="18" t="n">
        <v>123</v>
      </c>
      <c r="F98" s="19" t="n">
        <v>367.85</v>
      </c>
      <c r="G98" s="19" t="n">
        <f aca="false">D98*(new_rate-cur_rate)</f>
        <v>30</v>
      </c>
      <c r="H98" s="19" t="n">
        <f aca="false">F98+G98</f>
        <v>397.85</v>
      </c>
      <c r="I98" s="19" t="n">
        <f aca="false">sub_fee</f>
        <v>275</v>
      </c>
      <c r="J98" s="19" t="n">
        <f aca="false">MAX(0, E98-sub_lbs)*sub_overage</f>
        <v>69</v>
      </c>
      <c r="K98" s="19" t="n">
        <f aca="false">I98+J98</f>
        <v>344</v>
      </c>
      <c r="L98" s="20" t="str">
        <f aca="false">IF(K98&lt;H98,"Yes — saves $"&amp;TEXT(H98-K98,"0"),"No")</f>
        <v>Yes — saves $54</v>
      </c>
    </row>
    <row r="99" customFormat="false" ht="15" hidden="false" customHeight="false" outlineLevel="0" collapsed="false">
      <c r="A99" s="7" t="n">
        <v>95</v>
      </c>
      <c r="B99" s="7" t="s">
        <v>183</v>
      </c>
      <c r="C99" s="17" t="n">
        <v>4</v>
      </c>
      <c r="D99" s="17" t="n">
        <v>5</v>
      </c>
      <c r="E99" s="18" t="n">
        <v>122</v>
      </c>
      <c r="F99" s="19" t="n">
        <v>337.8</v>
      </c>
      <c r="G99" s="19" t="n">
        <f aca="false">D99*(new_rate-cur_rate)</f>
        <v>30</v>
      </c>
      <c r="H99" s="19" t="n">
        <f aca="false">F99+G99</f>
        <v>367.8</v>
      </c>
      <c r="I99" s="19" t="n">
        <f aca="false">sub_fee</f>
        <v>275</v>
      </c>
      <c r="J99" s="19" t="n">
        <f aca="false">MAX(0, E99-sub_lbs)*sub_overage</f>
        <v>66</v>
      </c>
      <c r="K99" s="19" t="n">
        <f aca="false">I99+J99</f>
        <v>341</v>
      </c>
      <c r="L99" s="20" t="str">
        <f aca="false">IF(K99&lt;H99,"Yes — saves $"&amp;TEXT(H99-K99,"0"),"No")</f>
        <v>Yes — saves $27</v>
      </c>
    </row>
    <row r="100" customFormat="false" ht="15" hidden="false" customHeight="false" outlineLevel="0" collapsed="false">
      <c r="A100" s="7" t="n">
        <v>96</v>
      </c>
      <c r="B100" s="7" t="s">
        <v>184</v>
      </c>
      <c r="C100" s="17" t="n">
        <v>3</v>
      </c>
      <c r="D100" s="17" t="n">
        <v>6</v>
      </c>
      <c r="E100" s="18" t="n">
        <v>122</v>
      </c>
      <c r="F100" s="19" t="n">
        <v>416.85</v>
      </c>
      <c r="G100" s="19" t="n">
        <f aca="false">D100*(new_rate-cur_rate)</f>
        <v>36</v>
      </c>
      <c r="H100" s="19" t="n">
        <f aca="false">F100+G100</f>
        <v>452.85</v>
      </c>
      <c r="I100" s="19" t="n">
        <f aca="false">sub_fee</f>
        <v>275</v>
      </c>
      <c r="J100" s="19" t="n">
        <f aca="false">MAX(0, E100-sub_lbs)*sub_overage</f>
        <v>66</v>
      </c>
      <c r="K100" s="19" t="n">
        <f aca="false">I100+J100</f>
        <v>341</v>
      </c>
      <c r="L100" s="20" t="str">
        <f aca="false">IF(K100&lt;H100,"Yes — saves $"&amp;TEXT(H100-K100,"0"),"No")</f>
        <v>Yes — saves $112</v>
      </c>
    </row>
    <row r="101" customFormat="false" ht="15" hidden="false" customHeight="false" outlineLevel="0" collapsed="false">
      <c r="A101" s="7" t="n">
        <v>97</v>
      </c>
      <c r="B101" s="7" t="s">
        <v>185</v>
      </c>
      <c r="C101" s="17" t="n">
        <v>5</v>
      </c>
      <c r="D101" s="17" t="n">
        <v>5</v>
      </c>
      <c r="E101" s="18" t="n">
        <v>121</v>
      </c>
      <c r="F101" s="19" t="n">
        <v>360.75</v>
      </c>
      <c r="G101" s="19" t="n">
        <f aca="false">D101*(new_rate-cur_rate)</f>
        <v>30</v>
      </c>
      <c r="H101" s="19" t="n">
        <f aca="false">F101+G101</f>
        <v>390.75</v>
      </c>
      <c r="I101" s="19" t="n">
        <f aca="false">sub_fee</f>
        <v>275</v>
      </c>
      <c r="J101" s="19" t="n">
        <f aca="false">MAX(0, E101-sub_lbs)*sub_overage</f>
        <v>63</v>
      </c>
      <c r="K101" s="19" t="n">
        <f aca="false">I101+J101</f>
        <v>338</v>
      </c>
      <c r="L101" s="20" t="str">
        <f aca="false">IF(K101&lt;H101,"Yes — saves $"&amp;TEXT(H101-K101,"0"),"No")</f>
        <v>Yes — saves $53</v>
      </c>
    </row>
    <row r="102" customFormat="false" ht="15" hidden="false" customHeight="false" outlineLevel="0" collapsed="false">
      <c r="A102" s="7" t="n">
        <v>98</v>
      </c>
      <c r="B102" s="7" t="s">
        <v>186</v>
      </c>
      <c r="C102" s="17" t="n">
        <v>4</v>
      </c>
      <c r="D102" s="17" t="n">
        <v>7</v>
      </c>
      <c r="E102" s="18" t="n">
        <v>121</v>
      </c>
      <c r="F102" s="19" t="n">
        <v>432.8</v>
      </c>
      <c r="G102" s="19" t="n">
        <f aca="false">D102*(new_rate-cur_rate)</f>
        <v>42</v>
      </c>
      <c r="H102" s="19" t="n">
        <f aca="false">F102+G102</f>
        <v>474.8</v>
      </c>
      <c r="I102" s="19" t="n">
        <f aca="false">sub_fee</f>
        <v>275</v>
      </c>
      <c r="J102" s="19" t="n">
        <f aca="false">MAX(0, E102-sub_lbs)*sub_overage</f>
        <v>63</v>
      </c>
      <c r="K102" s="19" t="n">
        <f aca="false">I102+J102</f>
        <v>338</v>
      </c>
      <c r="L102" s="20" t="str">
        <f aca="false">IF(K102&lt;H102,"Yes — saves $"&amp;TEXT(H102-K102,"0"),"No")</f>
        <v>Yes — saves $137</v>
      </c>
    </row>
    <row r="103" customFormat="false" ht="15" hidden="false" customHeight="false" outlineLevel="0" collapsed="false">
      <c r="A103" s="7" t="n">
        <v>99</v>
      </c>
      <c r="B103" s="7" t="s">
        <v>187</v>
      </c>
      <c r="C103" s="17" t="n">
        <v>5</v>
      </c>
      <c r="D103" s="17" t="n">
        <v>5</v>
      </c>
      <c r="E103" s="18" t="n">
        <v>121</v>
      </c>
      <c r="F103" s="19" t="n">
        <v>359.75</v>
      </c>
      <c r="G103" s="19" t="n">
        <f aca="false">D103*(new_rate-cur_rate)</f>
        <v>30</v>
      </c>
      <c r="H103" s="19" t="n">
        <f aca="false">F103+G103</f>
        <v>389.75</v>
      </c>
      <c r="I103" s="19" t="n">
        <f aca="false">sub_fee</f>
        <v>275</v>
      </c>
      <c r="J103" s="19" t="n">
        <f aca="false">MAX(0, E103-sub_lbs)*sub_overage</f>
        <v>63</v>
      </c>
      <c r="K103" s="19" t="n">
        <f aca="false">I103+J103</f>
        <v>338</v>
      </c>
      <c r="L103" s="20" t="str">
        <f aca="false">IF(K103&lt;H103,"Yes — saves $"&amp;TEXT(H103-K103,"0"),"No")</f>
        <v>Yes — saves $52</v>
      </c>
    </row>
    <row r="104" customFormat="false" ht="15" hidden="false" customHeight="false" outlineLevel="0" collapsed="false">
      <c r="A104" s="7" t="n">
        <v>100</v>
      </c>
      <c r="B104" s="7" t="s">
        <v>188</v>
      </c>
      <c r="C104" s="17" t="n">
        <v>3</v>
      </c>
      <c r="D104" s="17" t="n">
        <v>5</v>
      </c>
      <c r="E104" s="18" t="n">
        <v>121</v>
      </c>
      <c r="F104" s="19" t="n">
        <v>319.85</v>
      </c>
      <c r="G104" s="19" t="n">
        <f aca="false">D104*(new_rate-cur_rate)</f>
        <v>30</v>
      </c>
      <c r="H104" s="19" t="n">
        <f aca="false">F104+G104</f>
        <v>349.85</v>
      </c>
      <c r="I104" s="19" t="n">
        <f aca="false">sub_fee</f>
        <v>275</v>
      </c>
      <c r="J104" s="19" t="n">
        <f aca="false">MAX(0, E104-sub_lbs)*sub_overage</f>
        <v>63</v>
      </c>
      <c r="K104" s="19" t="n">
        <f aca="false">I104+J104</f>
        <v>338</v>
      </c>
      <c r="L104" s="20" t="str">
        <f aca="false">IF(K104&lt;H104,"Yes — saves $"&amp;TEXT(H104-K104,"0"),"No")</f>
        <v>Yes — saves $12</v>
      </c>
    </row>
    <row r="105" customFormat="false" ht="15" hidden="false" customHeight="false" outlineLevel="0" collapsed="false">
      <c r="A105" s="7" t="n">
        <v>101</v>
      </c>
      <c r="B105" s="7" t="s">
        <v>189</v>
      </c>
      <c r="C105" s="17" t="n">
        <v>3</v>
      </c>
      <c r="D105" s="17" t="n">
        <v>6</v>
      </c>
      <c r="E105" s="18" t="n">
        <v>121</v>
      </c>
      <c r="F105" s="19" t="n">
        <v>363.85</v>
      </c>
      <c r="G105" s="19" t="n">
        <f aca="false">D105*(new_rate-cur_rate)</f>
        <v>36</v>
      </c>
      <c r="H105" s="19" t="n">
        <f aca="false">F105+G105</f>
        <v>399.85</v>
      </c>
      <c r="I105" s="19" t="n">
        <f aca="false">sub_fee</f>
        <v>275</v>
      </c>
      <c r="J105" s="19" t="n">
        <f aca="false">MAX(0, E105-sub_lbs)*sub_overage</f>
        <v>63</v>
      </c>
      <c r="K105" s="19" t="n">
        <f aca="false">I105+J105</f>
        <v>338</v>
      </c>
      <c r="L105" s="20" t="str">
        <f aca="false">IF(K105&lt;H105,"Yes — saves $"&amp;TEXT(H105-K105,"0"),"No")</f>
        <v>Yes — saves $62</v>
      </c>
    </row>
    <row r="106" customFormat="false" ht="15" hidden="false" customHeight="false" outlineLevel="0" collapsed="false">
      <c r="A106" s="7" t="n">
        <v>102</v>
      </c>
      <c r="B106" s="7" t="s">
        <v>190</v>
      </c>
      <c r="C106" s="17" t="n">
        <v>5</v>
      </c>
      <c r="D106" s="17" t="n">
        <v>5</v>
      </c>
      <c r="E106" s="18" t="n">
        <v>120</v>
      </c>
      <c r="F106" s="19" t="n">
        <v>449.75</v>
      </c>
      <c r="G106" s="19" t="n">
        <f aca="false">D106*(new_rate-cur_rate)</f>
        <v>30</v>
      </c>
      <c r="H106" s="19" t="n">
        <f aca="false">F106+G106</f>
        <v>479.75</v>
      </c>
      <c r="I106" s="19" t="n">
        <f aca="false">sub_fee</f>
        <v>275</v>
      </c>
      <c r="J106" s="19" t="n">
        <f aca="false">MAX(0, E106-sub_lbs)*sub_overage</f>
        <v>60</v>
      </c>
      <c r="K106" s="19" t="n">
        <f aca="false">I106+J106</f>
        <v>335</v>
      </c>
      <c r="L106" s="20" t="str">
        <f aca="false">IF(K106&lt;H106,"Yes — saves $"&amp;TEXT(H106-K106,"0"),"No")</f>
        <v>Yes — saves $145</v>
      </c>
    </row>
    <row r="107" customFormat="false" ht="15" hidden="false" customHeight="false" outlineLevel="0" collapsed="false">
      <c r="A107" s="7" t="n">
        <v>103</v>
      </c>
      <c r="B107" s="7" t="s">
        <v>191</v>
      </c>
      <c r="C107" s="17" t="n">
        <v>4</v>
      </c>
      <c r="D107" s="17" t="n">
        <v>5</v>
      </c>
      <c r="E107" s="18" t="n">
        <v>119</v>
      </c>
      <c r="F107" s="19" t="n">
        <v>429.8</v>
      </c>
      <c r="G107" s="19" t="n">
        <f aca="false">D107*(new_rate-cur_rate)</f>
        <v>30</v>
      </c>
      <c r="H107" s="19" t="n">
        <f aca="false">F107+G107</f>
        <v>459.8</v>
      </c>
      <c r="I107" s="19" t="n">
        <f aca="false">sub_fee</f>
        <v>275</v>
      </c>
      <c r="J107" s="19" t="n">
        <f aca="false">MAX(0, E107-sub_lbs)*sub_overage</f>
        <v>57</v>
      </c>
      <c r="K107" s="19" t="n">
        <f aca="false">I107+J107</f>
        <v>332</v>
      </c>
      <c r="L107" s="20" t="str">
        <f aca="false">IF(K107&lt;H107,"Yes — saves $"&amp;TEXT(H107-K107,"0"),"No")</f>
        <v>Yes — saves $128</v>
      </c>
    </row>
    <row r="108" customFormat="false" ht="15" hidden="false" customHeight="false" outlineLevel="0" collapsed="false">
      <c r="A108" s="7" t="n">
        <v>104</v>
      </c>
      <c r="B108" s="7" t="s">
        <v>192</v>
      </c>
      <c r="C108" s="17" t="n">
        <v>5</v>
      </c>
      <c r="D108" s="17" t="n">
        <v>5</v>
      </c>
      <c r="E108" s="18" t="n">
        <v>119</v>
      </c>
      <c r="F108" s="19" t="n">
        <v>394.75</v>
      </c>
      <c r="G108" s="19" t="n">
        <f aca="false">D108*(new_rate-cur_rate)</f>
        <v>30</v>
      </c>
      <c r="H108" s="19" t="n">
        <f aca="false">F108+G108</f>
        <v>424.75</v>
      </c>
      <c r="I108" s="19" t="n">
        <f aca="false">sub_fee</f>
        <v>275</v>
      </c>
      <c r="J108" s="19" t="n">
        <f aca="false">MAX(0, E108-sub_lbs)*sub_overage</f>
        <v>57</v>
      </c>
      <c r="K108" s="19" t="n">
        <f aca="false">I108+J108</f>
        <v>332</v>
      </c>
      <c r="L108" s="20" t="str">
        <f aca="false">IF(K108&lt;H108,"Yes — saves $"&amp;TEXT(H108-K108,"0"),"No")</f>
        <v>Yes — saves $93</v>
      </c>
    </row>
    <row r="109" customFormat="false" ht="15" hidden="false" customHeight="false" outlineLevel="0" collapsed="false">
      <c r="A109" s="7" t="n">
        <v>105</v>
      </c>
      <c r="B109" s="7" t="s">
        <v>193</v>
      </c>
      <c r="C109" s="17" t="n">
        <v>2</v>
      </c>
      <c r="D109" s="17" t="n">
        <v>5</v>
      </c>
      <c r="E109" s="18" t="n">
        <v>119</v>
      </c>
      <c r="F109" s="19" t="n">
        <v>380.9</v>
      </c>
      <c r="G109" s="19" t="n">
        <f aca="false">D109*(new_rate-cur_rate)</f>
        <v>30</v>
      </c>
      <c r="H109" s="19" t="n">
        <f aca="false">F109+G109</f>
        <v>410.9</v>
      </c>
      <c r="I109" s="19" t="n">
        <f aca="false">sub_fee</f>
        <v>275</v>
      </c>
      <c r="J109" s="19" t="n">
        <f aca="false">MAX(0, E109-sub_lbs)*sub_overage</f>
        <v>57</v>
      </c>
      <c r="K109" s="19" t="n">
        <f aca="false">I109+J109</f>
        <v>332</v>
      </c>
      <c r="L109" s="20" t="str">
        <f aca="false">IF(K109&lt;H109,"Yes — saves $"&amp;TEXT(H109-K109,"0"),"No")</f>
        <v>Yes — saves $79</v>
      </c>
    </row>
    <row r="110" customFormat="false" ht="15" hidden="false" customHeight="false" outlineLevel="0" collapsed="false">
      <c r="A110" s="7" t="n">
        <v>106</v>
      </c>
      <c r="B110" s="7" t="s">
        <v>194</v>
      </c>
      <c r="C110" s="17" t="n">
        <v>5</v>
      </c>
      <c r="D110" s="17" t="n">
        <v>8</v>
      </c>
      <c r="E110" s="18" t="n">
        <v>118</v>
      </c>
      <c r="F110" s="19" t="n">
        <v>501.75</v>
      </c>
      <c r="G110" s="19" t="n">
        <f aca="false">D110*(new_rate-cur_rate)</f>
        <v>48</v>
      </c>
      <c r="H110" s="19" t="n">
        <f aca="false">F110+G110</f>
        <v>549.75</v>
      </c>
      <c r="I110" s="19" t="n">
        <f aca="false">sub_fee</f>
        <v>275</v>
      </c>
      <c r="J110" s="19" t="n">
        <f aca="false">MAX(0, E110-sub_lbs)*sub_overage</f>
        <v>54</v>
      </c>
      <c r="K110" s="19" t="n">
        <f aca="false">I110+J110</f>
        <v>329</v>
      </c>
      <c r="L110" s="20" t="str">
        <f aca="false">IF(K110&lt;H110,"Yes — saves $"&amp;TEXT(H110-K110,"0"),"No")</f>
        <v>Yes — saves $221</v>
      </c>
    </row>
    <row r="111" customFormat="false" ht="15" hidden="false" customHeight="false" outlineLevel="0" collapsed="false">
      <c r="A111" s="7" t="n">
        <v>107</v>
      </c>
      <c r="B111" s="7" t="s">
        <v>195</v>
      </c>
      <c r="C111" s="17" t="n">
        <v>6</v>
      </c>
      <c r="D111" s="17" t="n">
        <v>6</v>
      </c>
      <c r="E111" s="18" t="n">
        <v>118</v>
      </c>
      <c r="F111" s="19" t="n">
        <v>453.7</v>
      </c>
      <c r="G111" s="19" t="n">
        <f aca="false">D111*(new_rate-cur_rate)</f>
        <v>36</v>
      </c>
      <c r="H111" s="19" t="n">
        <f aca="false">F111+G111</f>
        <v>489.7</v>
      </c>
      <c r="I111" s="19" t="n">
        <f aca="false">sub_fee</f>
        <v>275</v>
      </c>
      <c r="J111" s="19" t="n">
        <f aca="false">MAX(0, E111-sub_lbs)*sub_overage</f>
        <v>54</v>
      </c>
      <c r="K111" s="19" t="n">
        <f aca="false">I111+J111</f>
        <v>329</v>
      </c>
      <c r="L111" s="20" t="str">
        <f aca="false">IF(K111&lt;H111,"Yes — saves $"&amp;TEXT(H111-K111,"0"),"No")</f>
        <v>Yes — saves $161</v>
      </c>
    </row>
    <row r="112" customFormat="false" ht="15" hidden="false" customHeight="false" outlineLevel="0" collapsed="false">
      <c r="A112" s="7" t="n">
        <v>108</v>
      </c>
      <c r="B112" s="7" t="s">
        <v>196</v>
      </c>
      <c r="C112" s="17" t="n">
        <v>4</v>
      </c>
      <c r="D112" s="17" t="n">
        <v>4</v>
      </c>
      <c r="E112" s="18" t="n">
        <v>117</v>
      </c>
      <c r="F112" s="19" t="n">
        <v>334.8</v>
      </c>
      <c r="G112" s="19" t="n">
        <f aca="false">D112*(new_rate-cur_rate)</f>
        <v>24</v>
      </c>
      <c r="H112" s="19" t="n">
        <f aca="false">F112+G112</f>
        <v>358.8</v>
      </c>
      <c r="I112" s="19" t="n">
        <f aca="false">sub_fee</f>
        <v>275</v>
      </c>
      <c r="J112" s="19" t="n">
        <f aca="false">MAX(0, E112-sub_lbs)*sub_overage</f>
        <v>51</v>
      </c>
      <c r="K112" s="19" t="n">
        <f aca="false">I112+J112</f>
        <v>326</v>
      </c>
      <c r="L112" s="20" t="str">
        <f aca="false">IF(K112&lt;H112,"Yes — saves $"&amp;TEXT(H112-K112,"0"),"No")</f>
        <v>Yes — saves $33</v>
      </c>
    </row>
    <row r="113" customFormat="false" ht="15" hidden="false" customHeight="false" outlineLevel="0" collapsed="false">
      <c r="A113" s="7" t="n">
        <v>109</v>
      </c>
      <c r="B113" s="7" t="s">
        <v>197</v>
      </c>
      <c r="C113" s="17" t="n">
        <v>2</v>
      </c>
      <c r="D113" s="17" t="n">
        <v>4</v>
      </c>
      <c r="E113" s="18" t="n">
        <v>116</v>
      </c>
      <c r="F113" s="19" t="n">
        <v>303.9</v>
      </c>
      <c r="G113" s="19" t="n">
        <f aca="false">D113*(new_rate-cur_rate)</f>
        <v>24</v>
      </c>
      <c r="H113" s="19" t="n">
        <f aca="false">F113+G113</f>
        <v>327.9</v>
      </c>
      <c r="I113" s="19" t="n">
        <f aca="false">sub_fee</f>
        <v>275</v>
      </c>
      <c r="J113" s="19" t="n">
        <f aca="false">MAX(0, E113-sub_lbs)*sub_overage</f>
        <v>48</v>
      </c>
      <c r="K113" s="19" t="n">
        <f aca="false">I113+J113</f>
        <v>323</v>
      </c>
      <c r="L113" s="20" t="str">
        <f aca="false">IF(K113&lt;H113,"Yes — saves $"&amp;TEXT(H113-K113,"0"),"No")</f>
        <v>Yes — saves $5</v>
      </c>
    </row>
    <row r="114" customFormat="false" ht="15" hidden="false" customHeight="false" outlineLevel="0" collapsed="false">
      <c r="A114" s="7" t="n">
        <v>110</v>
      </c>
      <c r="B114" s="7" t="s">
        <v>198</v>
      </c>
      <c r="C114" s="17" t="n">
        <v>4</v>
      </c>
      <c r="D114" s="17" t="n">
        <v>6</v>
      </c>
      <c r="E114" s="18" t="n">
        <v>116</v>
      </c>
      <c r="F114" s="19" t="n">
        <v>418.8</v>
      </c>
      <c r="G114" s="19" t="n">
        <f aca="false">D114*(new_rate-cur_rate)</f>
        <v>36</v>
      </c>
      <c r="H114" s="19" t="n">
        <f aca="false">F114+G114</f>
        <v>454.8</v>
      </c>
      <c r="I114" s="19" t="n">
        <f aca="false">sub_fee</f>
        <v>275</v>
      </c>
      <c r="J114" s="19" t="n">
        <f aca="false">MAX(0, E114-sub_lbs)*sub_overage</f>
        <v>48</v>
      </c>
      <c r="K114" s="19" t="n">
        <f aca="false">I114+J114</f>
        <v>323</v>
      </c>
      <c r="L114" s="20" t="str">
        <f aca="false">IF(K114&lt;H114,"Yes — saves $"&amp;TEXT(H114-K114,"0"),"No")</f>
        <v>Yes — saves $132</v>
      </c>
    </row>
    <row r="115" customFormat="false" ht="15" hidden="false" customHeight="false" outlineLevel="0" collapsed="false">
      <c r="A115" s="7" t="n">
        <v>111</v>
      </c>
      <c r="B115" s="7" t="s">
        <v>199</v>
      </c>
      <c r="C115" s="17" t="n">
        <v>5</v>
      </c>
      <c r="D115" s="17" t="n">
        <v>6</v>
      </c>
      <c r="E115" s="18" t="n">
        <v>116</v>
      </c>
      <c r="F115" s="19" t="n">
        <v>383.75</v>
      </c>
      <c r="G115" s="19" t="n">
        <f aca="false">D115*(new_rate-cur_rate)</f>
        <v>36</v>
      </c>
      <c r="H115" s="19" t="n">
        <f aca="false">F115+G115</f>
        <v>419.75</v>
      </c>
      <c r="I115" s="19" t="n">
        <f aca="false">sub_fee</f>
        <v>275</v>
      </c>
      <c r="J115" s="19" t="n">
        <f aca="false">MAX(0, E115-sub_lbs)*sub_overage</f>
        <v>48</v>
      </c>
      <c r="K115" s="19" t="n">
        <f aca="false">I115+J115</f>
        <v>323</v>
      </c>
      <c r="L115" s="20" t="str">
        <f aca="false">IF(K115&lt;H115,"Yes — saves $"&amp;TEXT(H115-K115,"0"),"No")</f>
        <v>Yes — saves $97</v>
      </c>
    </row>
    <row r="116" customFormat="false" ht="15" hidden="false" customHeight="false" outlineLevel="0" collapsed="false">
      <c r="A116" s="7" t="n">
        <v>112</v>
      </c>
      <c r="B116" s="7" t="s">
        <v>200</v>
      </c>
      <c r="C116" s="17" t="n">
        <v>3</v>
      </c>
      <c r="D116" s="17" t="n">
        <v>5</v>
      </c>
      <c r="E116" s="18" t="n">
        <v>116</v>
      </c>
      <c r="F116" s="19" t="n">
        <v>334.85</v>
      </c>
      <c r="G116" s="19" t="n">
        <f aca="false">D116*(new_rate-cur_rate)</f>
        <v>30</v>
      </c>
      <c r="H116" s="19" t="n">
        <f aca="false">F116+G116</f>
        <v>364.85</v>
      </c>
      <c r="I116" s="19" t="n">
        <f aca="false">sub_fee</f>
        <v>275</v>
      </c>
      <c r="J116" s="19" t="n">
        <f aca="false">MAX(0, E116-sub_lbs)*sub_overage</f>
        <v>48</v>
      </c>
      <c r="K116" s="19" t="n">
        <f aca="false">I116+J116</f>
        <v>323</v>
      </c>
      <c r="L116" s="20" t="str">
        <f aca="false">IF(K116&lt;H116,"Yes — saves $"&amp;TEXT(H116-K116,"0"),"No")</f>
        <v>Yes — saves $42</v>
      </c>
    </row>
    <row r="117" customFormat="false" ht="15" hidden="false" customHeight="false" outlineLevel="0" collapsed="false">
      <c r="A117" s="7" t="n">
        <v>113</v>
      </c>
      <c r="B117" s="7" t="s">
        <v>201</v>
      </c>
      <c r="C117" s="17" t="n">
        <v>4</v>
      </c>
      <c r="D117" s="17" t="n">
        <v>5</v>
      </c>
      <c r="E117" s="18" t="n">
        <v>115</v>
      </c>
      <c r="F117" s="19" t="n">
        <v>335.8</v>
      </c>
      <c r="G117" s="19" t="n">
        <f aca="false">D117*(new_rate-cur_rate)</f>
        <v>30</v>
      </c>
      <c r="H117" s="19" t="n">
        <f aca="false">F117+G117</f>
        <v>365.8</v>
      </c>
      <c r="I117" s="19" t="n">
        <f aca="false">sub_fee</f>
        <v>275</v>
      </c>
      <c r="J117" s="19" t="n">
        <f aca="false">MAX(0, E117-sub_lbs)*sub_overage</f>
        <v>45</v>
      </c>
      <c r="K117" s="19" t="n">
        <f aca="false">I117+J117</f>
        <v>320</v>
      </c>
      <c r="L117" s="20" t="str">
        <f aca="false">IF(K117&lt;H117,"Yes — saves $"&amp;TEXT(H117-K117,"0"),"No")</f>
        <v>Yes — saves $46</v>
      </c>
    </row>
    <row r="118" customFormat="false" ht="15" hidden="false" customHeight="false" outlineLevel="0" collapsed="false">
      <c r="A118" s="7" t="n">
        <v>114</v>
      </c>
      <c r="B118" s="7" t="s">
        <v>202</v>
      </c>
      <c r="C118" s="17" t="n">
        <v>5</v>
      </c>
      <c r="D118" s="17" t="n">
        <v>5</v>
      </c>
      <c r="E118" s="18" t="n">
        <v>115</v>
      </c>
      <c r="F118" s="19" t="n">
        <v>410.75</v>
      </c>
      <c r="G118" s="19" t="n">
        <f aca="false">D118*(new_rate-cur_rate)</f>
        <v>30</v>
      </c>
      <c r="H118" s="19" t="n">
        <f aca="false">F118+G118</f>
        <v>440.75</v>
      </c>
      <c r="I118" s="19" t="n">
        <f aca="false">sub_fee</f>
        <v>275</v>
      </c>
      <c r="J118" s="19" t="n">
        <f aca="false">MAX(0, E118-sub_lbs)*sub_overage</f>
        <v>45</v>
      </c>
      <c r="K118" s="19" t="n">
        <f aca="false">I118+J118</f>
        <v>320</v>
      </c>
      <c r="L118" s="20" t="str">
        <f aca="false">IF(K118&lt;H118,"Yes — saves $"&amp;TEXT(H118-K118,"0"),"No")</f>
        <v>Yes — saves $121</v>
      </c>
    </row>
    <row r="119" customFormat="false" ht="15" hidden="false" customHeight="false" outlineLevel="0" collapsed="false">
      <c r="A119" s="7" t="n">
        <v>115</v>
      </c>
      <c r="B119" s="7" t="s">
        <v>203</v>
      </c>
      <c r="C119" s="17" t="n">
        <v>5</v>
      </c>
      <c r="D119" s="17" t="n">
        <v>5</v>
      </c>
      <c r="E119" s="18" t="n">
        <v>114</v>
      </c>
      <c r="F119" s="19" t="n">
        <v>366.75</v>
      </c>
      <c r="G119" s="19" t="n">
        <f aca="false">D119*(new_rate-cur_rate)</f>
        <v>30</v>
      </c>
      <c r="H119" s="19" t="n">
        <f aca="false">F119+G119</f>
        <v>396.75</v>
      </c>
      <c r="I119" s="19" t="n">
        <f aca="false">sub_fee</f>
        <v>275</v>
      </c>
      <c r="J119" s="19" t="n">
        <f aca="false">MAX(0, E119-sub_lbs)*sub_overage</f>
        <v>42</v>
      </c>
      <c r="K119" s="19" t="n">
        <f aca="false">I119+J119</f>
        <v>317</v>
      </c>
      <c r="L119" s="20" t="str">
        <f aca="false">IF(K119&lt;H119,"Yes — saves $"&amp;TEXT(H119-K119,"0"),"No")</f>
        <v>Yes — saves $80</v>
      </c>
    </row>
    <row r="120" customFormat="false" ht="15" hidden="false" customHeight="false" outlineLevel="0" collapsed="false">
      <c r="A120" s="7" t="n">
        <v>116</v>
      </c>
      <c r="B120" s="7" t="s">
        <v>204</v>
      </c>
      <c r="C120" s="17" t="n">
        <v>4</v>
      </c>
      <c r="D120" s="17" t="n">
        <v>4</v>
      </c>
      <c r="E120" s="18" t="n">
        <v>114</v>
      </c>
      <c r="F120" s="19" t="n">
        <v>321.8</v>
      </c>
      <c r="G120" s="19" t="n">
        <f aca="false">D120*(new_rate-cur_rate)</f>
        <v>24</v>
      </c>
      <c r="H120" s="19" t="n">
        <f aca="false">F120+G120</f>
        <v>345.8</v>
      </c>
      <c r="I120" s="19" t="n">
        <f aca="false">sub_fee</f>
        <v>275</v>
      </c>
      <c r="J120" s="19" t="n">
        <f aca="false">MAX(0, E120-sub_lbs)*sub_overage</f>
        <v>42</v>
      </c>
      <c r="K120" s="19" t="n">
        <f aca="false">I120+J120</f>
        <v>317</v>
      </c>
      <c r="L120" s="20" t="str">
        <f aca="false">IF(K120&lt;H120,"Yes — saves $"&amp;TEXT(H120-K120,"0"),"No")</f>
        <v>Yes — saves $29</v>
      </c>
    </row>
    <row r="121" customFormat="false" ht="15" hidden="false" customHeight="false" outlineLevel="0" collapsed="false">
      <c r="A121" s="7" t="n">
        <v>117</v>
      </c>
      <c r="B121" s="7" t="s">
        <v>205</v>
      </c>
      <c r="C121" s="17" t="n">
        <v>1</v>
      </c>
      <c r="D121" s="17" t="n">
        <v>5</v>
      </c>
      <c r="E121" s="18" t="n">
        <v>114</v>
      </c>
      <c r="F121" s="19" t="n">
        <v>319.95</v>
      </c>
      <c r="G121" s="19" t="n">
        <f aca="false">D121*(new_rate-cur_rate)</f>
        <v>30</v>
      </c>
      <c r="H121" s="19" t="n">
        <f aca="false">F121+G121</f>
        <v>349.95</v>
      </c>
      <c r="I121" s="19" t="n">
        <f aca="false">sub_fee</f>
        <v>275</v>
      </c>
      <c r="J121" s="19" t="n">
        <f aca="false">MAX(0, E121-sub_lbs)*sub_overage</f>
        <v>42</v>
      </c>
      <c r="K121" s="19" t="n">
        <f aca="false">I121+J121</f>
        <v>317</v>
      </c>
      <c r="L121" s="20" t="str">
        <f aca="false">IF(K121&lt;H121,"Yes — saves $"&amp;TEXT(H121-K121,"0"),"No")</f>
        <v>Yes — saves $33</v>
      </c>
    </row>
    <row r="122" customFormat="false" ht="15" hidden="false" customHeight="false" outlineLevel="0" collapsed="false">
      <c r="A122" s="7" t="n">
        <v>118</v>
      </c>
      <c r="B122" s="7" t="s">
        <v>206</v>
      </c>
      <c r="C122" s="17" t="n">
        <v>4</v>
      </c>
      <c r="D122" s="17" t="n">
        <v>6</v>
      </c>
      <c r="E122" s="18" t="n">
        <v>113</v>
      </c>
      <c r="F122" s="19" t="n">
        <v>454.8</v>
      </c>
      <c r="G122" s="19" t="n">
        <f aca="false">D122*(new_rate-cur_rate)</f>
        <v>36</v>
      </c>
      <c r="H122" s="19" t="n">
        <f aca="false">F122+G122</f>
        <v>490.8</v>
      </c>
      <c r="I122" s="19" t="n">
        <f aca="false">sub_fee</f>
        <v>275</v>
      </c>
      <c r="J122" s="19" t="n">
        <f aca="false">MAX(0, E122-sub_lbs)*sub_overage</f>
        <v>39</v>
      </c>
      <c r="K122" s="19" t="n">
        <f aca="false">I122+J122</f>
        <v>314</v>
      </c>
      <c r="L122" s="20" t="str">
        <f aca="false">IF(K122&lt;H122,"Yes — saves $"&amp;TEXT(H122-K122,"0"),"No")</f>
        <v>Yes — saves $177</v>
      </c>
    </row>
    <row r="123" customFormat="false" ht="15" hidden="false" customHeight="false" outlineLevel="0" collapsed="false">
      <c r="A123" s="7" t="n">
        <v>119</v>
      </c>
      <c r="B123" s="7" t="s">
        <v>207</v>
      </c>
      <c r="C123" s="17" t="n">
        <v>5</v>
      </c>
      <c r="D123" s="17" t="n">
        <v>5</v>
      </c>
      <c r="E123" s="18" t="n">
        <v>113</v>
      </c>
      <c r="F123" s="19" t="n">
        <v>324.75</v>
      </c>
      <c r="G123" s="19" t="n">
        <f aca="false">D123*(new_rate-cur_rate)</f>
        <v>30</v>
      </c>
      <c r="H123" s="19" t="n">
        <f aca="false">F123+G123</f>
        <v>354.75</v>
      </c>
      <c r="I123" s="19" t="n">
        <f aca="false">sub_fee</f>
        <v>275</v>
      </c>
      <c r="J123" s="19" t="n">
        <f aca="false">MAX(0, E123-sub_lbs)*sub_overage</f>
        <v>39</v>
      </c>
      <c r="K123" s="19" t="n">
        <f aca="false">I123+J123</f>
        <v>314</v>
      </c>
      <c r="L123" s="20" t="str">
        <f aca="false">IF(K123&lt;H123,"Yes — saves $"&amp;TEXT(H123-K123,"0"),"No")</f>
        <v>Yes — saves $41</v>
      </c>
    </row>
    <row r="124" customFormat="false" ht="15" hidden="false" customHeight="false" outlineLevel="0" collapsed="false">
      <c r="A124" s="7" t="n">
        <v>120</v>
      </c>
      <c r="B124" s="7" t="s">
        <v>208</v>
      </c>
      <c r="C124" s="17" t="n">
        <v>1</v>
      </c>
      <c r="D124" s="17" t="n">
        <v>4</v>
      </c>
      <c r="E124" s="18" t="n">
        <v>113</v>
      </c>
      <c r="F124" s="19" t="n">
        <v>284.95</v>
      </c>
      <c r="G124" s="19" t="n">
        <f aca="false">D124*(new_rate-cur_rate)</f>
        <v>24</v>
      </c>
      <c r="H124" s="19" t="n">
        <f aca="false">F124+G124</f>
        <v>308.95</v>
      </c>
      <c r="I124" s="19" t="n">
        <f aca="false">sub_fee</f>
        <v>275</v>
      </c>
      <c r="J124" s="19" t="n">
        <f aca="false">MAX(0, E124-sub_lbs)*sub_overage</f>
        <v>39</v>
      </c>
      <c r="K124" s="19" t="n">
        <f aca="false">I124+J124</f>
        <v>314</v>
      </c>
      <c r="L124" s="20" t="str">
        <f aca="false">IF(K124&lt;H124,"Yes — saves $"&amp;TEXT(H124-K124,"0"),"No")</f>
        <v>No</v>
      </c>
    </row>
    <row r="125" customFormat="false" ht="15" hidden="false" customHeight="false" outlineLevel="0" collapsed="false">
      <c r="A125" s="7" t="n">
        <v>121</v>
      </c>
      <c r="B125" s="7" t="s">
        <v>209</v>
      </c>
      <c r="C125" s="17" t="n">
        <v>3</v>
      </c>
      <c r="D125" s="17" t="n">
        <v>6</v>
      </c>
      <c r="E125" s="18" t="n">
        <v>112</v>
      </c>
      <c r="F125" s="19" t="n">
        <v>0</v>
      </c>
      <c r="G125" s="19" t="n">
        <f aca="false">D125*(new_rate-cur_rate)</f>
        <v>36</v>
      </c>
      <c r="H125" s="19" t="n">
        <f aca="false">F125+G125</f>
        <v>36</v>
      </c>
      <c r="I125" s="19" t="n">
        <f aca="false">sub_fee</f>
        <v>275</v>
      </c>
      <c r="J125" s="19" t="n">
        <f aca="false">MAX(0, E125-sub_lbs)*sub_overage</f>
        <v>36</v>
      </c>
      <c r="K125" s="19" t="n">
        <f aca="false">I125+J125</f>
        <v>311</v>
      </c>
      <c r="L125" s="20" t="str">
        <f aca="false">IF(K125&lt;H125,"Yes — saves $"&amp;TEXT(H125-K125,"0"),"No")</f>
        <v>No</v>
      </c>
    </row>
    <row r="126" customFormat="false" ht="15" hidden="false" customHeight="false" outlineLevel="0" collapsed="false">
      <c r="A126" s="7" t="n">
        <v>122</v>
      </c>
      <c r="B126" s="7" t="s">
        <v>210</v>
      </c>
      <c r="C126" s="17" t="n">
        <v>4</v>
      </c>
      <c r="D126" s="17" t="n">
        <v>4</v>
      </c>
      <c r="E126" s="18" t="n">
        <v>112</v>
      </c>
      <c r="F126" s="19" t="n">
        <v>294.8</v>
      </c>
      <c r="G126" s="19" t="n">
        <f aca="false">D126*(new_rate-cur_rate)</f>
        <v>24</v>
      </c>
      <c r="H126" s="19" t="n">
        <f aca="false">F126+G126</f>
        <v>318.8</v>
      </c>
      <c r="I126" s="19" t="n">
        <f aca="false">sub_fee</f>
        <v>275</v>
      </c>
      <c r="J126" s="19" t="n">
        <f aca="false">MAX(0, E126-sub_lbs)*sub_overage</f>
        <v>36</v>
      </c>
      <c r="K126" s="19" t="n">
        <f aca="false">I126+J126</f>
        <v>311</v>
      </c>
      <c r="L126" s="20" t="str">
        <f aca="false">IF(K126&lt;H126,"Yes — saves $"&amp;TEXT(H126-K126,"0"),"No")</f>
        <v>Yes — saves $8</v>
      </c>
    </row>
    <row r="127" customFormat="false" ht="15" hidden="false" customHeight="false" outlineLevel="0" collapsed="false">
      <c r="A127" s="7" t="n">
        <v>123</v>
      </c>
      <c r="B127" s="7" t="s">
        <v>211</v>
      </c>
      <c r="C127" s="17" t="n">
        <v>2</v>
      </c>
      <c r="D127" s="17" t="n">
        <v>4</v>
      </c>
      <c r="E127" s="18" t="n">
        <v>112</v>
      </c>
      <c r="F127" s="19" t="n">
        <v>377.9</v>
      </c>
      <c r="G127" s="19" t="n">
        <f aca="false">D127*(new_rate-cur_rate)</f>
        <v>24</v>
      </c>
      <c r="H127" s="19" t="n">
        <f aca="false">F127+G127</f>
        <v>401.9</v>
      </c>
      <c r="I127" s="19" t="n">
        <f aca="false">sub_fee</f>
        <v>275</v>
      </c>
      <c r="J127" s="19" t="n">
        <f aca="false">MAX(0, E127-sub_lbs)*sub_overage</f>
        <v>36</v>
      </c>
      <c r="K127" s="19" t="n">
        <f aca="false">I127+J127</f>
        <v>311</v>
      </c>
      <c r="L127" s="20" t="str">
        <f aca="false">IF(K127&lt;H127,"Yes — saves $"&amp;TEXT(H127-K127,"0"),"No")</f>
        <v>Yes — saves $91</v>
      </c>
    </row>
    <row r="128" customFormat="false" ht="15" hidden="false" customHeight="false" outlineLevel="0" collapsed="false">
      <c r="A128" s="7" t="n">
        <v>124</v>
      </c>
      <c r="B128" s="7" t="s">
        <v>212</v>
      </c>
      <c r="C128" s="17" t="n">
        <v>4</v>
      </c>
      <c r="D128" s="17" t="n">
        <v>4</v>
      </c>
      <c r="E128" s="18" t="n">
        <v>111</v>
      </c>
      <c r="F128" s="19" t="n">
        <v>291.8</v>
      </c>
      <c r="G128" s="19" t="n">
        <f aca="false">D128*(new_rate-cur_rate)</f>
        <v>24</v>
      </c>
      <c r="H128" s="19" t="n">
        <f aca="false">F128+G128</f>
        <v>315.8</v>
      </c>
      <c r="I128" s="19" t="n">
        <f aca="false">sub_fee</f>
        <v>275</v>
      </c>
      <c r="J128" s="19" t="n">
        <f aca="false">MAX(0, E128-sub_lbs)*sub_overage</f>
        <v>33</v>
      </c>
      <c r="K128" s="19" t="n">
        <f aca="false">I128+J128</f>
        <v>308</v>
      </c>
      <c r="L128" s="20" t="str">
        <f aca="false">IF(K128&lt;H128,"Yes — saves $"&amp;TEXT(H128-K128,"0"),"No")</f>
        <v>Yes — saves $8</v>
      </c>
    </row>
    <row r="129" customFormat="false" ht="15" hidden="false" customHeight="false" outlineLevel="0" collapsed="false">
      <c r="A129" s="7" t="n">
        <v>125</v>
      </c>
      <c r="B129" s="7" t="s">
        <v>213</v>
      </c>
      <c r="C129" s="17" t="n">
        <v>5</v>
      </c>
      <c r="D129" s="17" t="n">
        <v>5</v>
      </c>
      <c r="E129" s="18" t="n">
        <v>111</v>
      </c>
      <c r="F129" s="19" t="n">
        <v>327.75</v>
      </c>
      <c r="G129" s="19" t="n">
        <f aca="false">D129*(new_rate-cur_rate)</f>
        <v>30</v>
      </c>
      <c r="H129" s="19" t="n">
        <f aca="false">F129+G129</f>
        <v>357.75</v>
      </c>
      <c r="I129" s="19" t="n">
        <f aca="false">sub_fee</f>
        <v>275</v>
      </c>
      <c r="J129" s="19" t="n">
        <f aca="false">MAX(0, E129-sub_lbs)*sub_overage</f>
        <v>33</v>
      </c>
      <c r="K129" s="19" t="n">
        <f aca="false">I129+J129</f>
        <v>308</v>
      </c>
      <c r="L129" s="20" t="str">
        <f aca="false">IF(K129&lt;H129,"Yes — saves $"&amp;TEXT(H129-K129,"0"),"No")</f>
        <v>Yes — saves $50</v>
      </c>
    </row>
    <row r="130" customFormat="false" ht="15" hidden="false" customHeight="false" outlineLevel="0" collapsed="false">
      <c r="A130" s="7" t="n">
        <v>126</v>
      </c>
      <c r="B130" s="7" t="s">
        <v>214</v>
      </c>
      <c r="C130" s="17" t="n">
        <v>5</v>
      </c>
      <c r="D130" s="17" t="n">
        <v>5</v>
      </c>
      <c r="E130" s="18" t="n">
        <v>111</v>
      </c>
      <c r="F130" s="19" t="n">
        <v>429.75</v>
      </c>
      <c r="G130" s="19" t="n">
        <f aca="false">D130*(new_rate-cur_rate)</f>
        <v>30</v>
      </c>
      <c r="H130" s="19" t="n">
        <f aca="false">F130+G130</f>
        <v>459.75</v>
      </c>
      <c r="I130" s="19" t="n">
        <f aca="false">sub_fee</f>
        <v>275</v>
      </c>
      <c r="J130" s="19" t="n">
        <f aca="false">MAX(0, E130-sub_lbs)*sub_overage</f>
        <v>33</v>
      </c>
      <c r="K130" s="19" t="n">
        <f aca="false">I130+J130</f>
        <v>308</v>
      </c>
      <c r="L130" s="20" t="str">
        <f aca="false">IF(K130&lt;H130,"Yes — saves $"&amp;TEXT(H130-K130,"0"),"No")</f>
        <v>Yes — saves $152</v>
      </c>
    </row>
    <row r="131" customFormat="false" ht="15" hidden="false" customHeight="false" outlineLevel="0" collapsed="false">
      <c r="A131" s="7" t="n">
        <v>127</v>
      </c>
      <c r="B131" s="7" t="s">
        <v>215</v>
      </c>
      <c r="C131" s="17" t="n">
        <v>4</v>
      </c>
      <c r="D131" s="17" t="n">
        <v>4</v>
      </c>
      <c r="E131" s="18" t="n">
        <v>110</v>
      </c>
      <c r="F131" s="19" t="n">
        <v>285.8</v>
      </c>
      <c r="G131" s="19" t="n">
        <f aca="false">D131*(new_rate-cur_rate)</f>
        <v>24</v>
      </c>
      <c r="H131" s="19" t="n">
        <f aca="false">F131+G131</f>
        <v>309.8</v>
      </c>
      <c r="I131" s="19" t="n">
        <f aca="false">sub_fee</f>
        <v>275</v>
      </c>
      <c r="J131" s="19" t="n">
        <f aca="false">MAX(0, E131-sub_lbs)*sub_overage</f>
        <v>30</v>
      </c>
      <c r="K131" s="19" t="n">
        <f aca="false">I131+J131</f>
        <v>305</v>
      </c>
      <c r="L131" s="20" t="str">
        <f aca="false">IF(K131&lt;H131,"Yes — saves $"&amp;TEXT(H131-K131,"0"),"No")</f>
        <v>Yes — saves $5</v>
      </c>
    </row>
    <row r="132" customFormat="false" ht="15" hidden="false" customHeight="false" outlineLevel="0" collapsed="false">
      <c r="A132" s="7" t="n">
        <v>128</v>
      </c>
      <c r="B132" s="7" t="s">
        <v>216</v>
      </c>
      <c r="C132" s="17" t="n">
        <v>5</v>
      </c>
      <c r="D132" s="17" t="n">
        <v>5</v>
      </c>
      <c r="E132" s="18" t="n">
        <v>109</v>
      </c>
      <c r="F132" s="19" t="n">
        <v>374.75</v>
      </c>
      <c r="G132" s="19" t="n">
        <f aca="false">D132*(new_rate-cur_rate)</f>
        <v>30</v>
      </c>
      <c r="H132" s="19" t="n">
        <f aca="false">F132+G132</f>
        <v>404.75</v>
      </c>
      <c r="I132" s="19" t="n">
        <f aca="false">sub_fee</f>
        <v>275</v>
      </c>
      <c r="J132" s="19" t="n">
        <f aca="false">MAX(0, E132-sub_lbs)*sub_overage</f>
        <v>27</v>
      </c>
      <c r="K132" s="19" t="n">
        <f aca="false">I132+J132</f>
        <v>302</v>
      </c>
      <c r="L132" s="20" t="str">
        <f aca="false">IF(K132&lt;H132,"Yes — saves $"&amp;TEXT(H132-K132,"0"),"No")</f>
        <v>Yes — saves $103</v>
      </c>
    </row>
    <row r="133" customFormat="false" ht="15" hidden="false" customHeight="false" outlineLevel="0" collapsed="false">
      <c r="A133" s="7" t="n">
        <v>129</v>
      </c>
      <c r="B133" s="7" t="s">
        <v>217</v>
      </c>
      <c r="C133" s="17" t="n">
        <v>1</v>
      </c>
      <c r="D133" s="17" t="n">
        <v>4</v>
      </c>
      <c r="E133" s="18" t="n">
        <v>108</v>
      </c>
      <c r="F133" s="19" t="n">
        <v>269.95</v>
      </c>
      <c r="G133" s="19" t="n">
        <f aca="false">D133*(new_rate-cur_rate)</f>
        <v>24</v>
      </c>
      <c r="H133" s="19" t="n">
        <f aca="false">F133+G133</f>
        <v>293.95</v>
      </c>
      <c r="I133" s="19" t="n">
        <f aca="false">sub_fee</f>
        <v>275</v>
      </c>
      <c r="J133" s="19" t="n">
        <f aca="false">MAX(0, E133-sub_lbs)*sub_overage</f>
        <v>24</v>
      </c>
      <c r="K133" s="19" t="n">
        <f aca="false">I133+J133</f>
        <v>299</v>
      </c>
      <c r="L133" s="20" t="str">
        <f aca="false">IF(K133&lt;H133,"Yes — saves $"&amp;TEXT(H133-K133,"0"),"No")</f>
        <v>No</v>
      </c>
    </row>
    <row r="134" customFormat="false" ht="15" hidden="false" customHeight="false" outlineLevel="0" collapsed="false">
      <c r="A134" s="7" t="n">
        <v>130</v>
      </c>
      <c r="B134" s="7" t="s">
        <v>218</v>
      </c>
      <c r="C134" s="17" t="n">
        <v>4</v>
      </c>
      <c r="D134" s="17" t="n">
        <v>4</v>
      </c>
      <c r="E134" s="18" t="n">
        <v>108</v>
      </c>
      <c r="F134" s="19" t="n">
        <v>297.8</v>
      </c>
      <c r="G134" s="19" t="n">
        <f aca="false">D134*(new_rate-cur_rate)</f>
        <v>24</v>
      </c>
      <c r="H134" s="19" t="n">
        <f aca="false">F134+G134</f>
        <v>321.8</v>
      </c>
      <c r="I134" s="19" t="n">
        <f aca="false">sub_fee</f>
        <v>275</v>
      </c>
      <c r="J134" s="19" t="n">
        <f aca="false">MAX(0, E134-sub_lbs)*sub_overage</f>
        <v>24</v>
      </c>
      <c r="K134" s="19" t="n">
        <f aca="false">I134+J134</f>
        <v>299</v>
      </c>
      <c r="L134" s="20" t="str">
        <f aca="false">IF(K134&lt;H134,"Yes — saves $"&amp;TEXT(H134-K134,"0"),"No")</f>
        <v>Yes — saves $23</v>
      </c>
    </row>
    <row r="135" customFormat="false" ht="15" hidden="false" customHeight="false" outlineLevel="0" collapsed="false">
      <c r="A135" s="7" t="n">
        <v>131</v>
      </c>
      <c r="B135" s="7" t="s">
        <v>219</v>
      </c>
      <c r="C135" s="17" t="n">
        <v>2</v>
      </c>
      <c r="D135" s="17" t="n">
        <v>4</v>
      </c>
      <c r="E135" s="18" t="n">
        <v>108</v>
      </c>
      <c r="F135" s="19" t="n">
        <v>271.9</v>
      </c>
      <c r="G135" s="19" t="n">
        <f aca="false">D135*(new_rate-cur_rate)</f>
        <v>24</v>
      </c>
      <c r="H135" s="19" t="n">
        <f aca="false">F135+G135</f>
        <v>295.9</v>
      </c>
      <c r="I135" s="19" t="n">
        <f aca="false">sub_fee</f>
        <v>275</v>
      </c>
      <c r="J135" s="19" t="n">
        <f aca="false">MAX(0, E135-sub_lbs)*sub_overage</f>
        <v>24</v>
      </c>
      <c r="K135" s="19" t="n">
        <f aca="false">I135+J135</f>
        <v>299</v>
      </c>
      <c r="L135" s="20" t="str">
        <f aca="false">IF(K135&lt;H135,"Yes — saves $"&amp;TEXT(H135-K135,"0"),"No")</f>
        <v>No</v>
      </c>
    </row>
    <row r="136" customFormat="false" ht="15" hidden="false" customHeight="false" outlineLevel="0" collapsed="false">
      <c r="A136" s="7" t="n">
        <v>132</v>
      </c>
      <c r="B136" s="7" t="s">
        <v>220</v>
      </c>
      <c r="C136" s="17" t="n">
        <v>2</v>
      </c>
      <c r="D136" s="17" t="n">
        <v>4</v>
      </c>
      <c r="E136" s="18" t="n">
        <v>107</v>
      </c>
      <c r="F136" s="19" t="n">
        <v>298.9</v>
      </c>
      <c r="G136" s="19" t="n">
        <f aca="false">D136*(new_rate-cur_rate)</f>
        <v>24</v>
      </c>
      <c r="H136" s="19" t="n">
        <f aca="false">F136+G136</f>
        <v>322.9</v>
      </c>
      <c r="I136" s="19" t="n">
        <f aca="false">sub_fee</f>
        <v>275</v>
      </c>
      <c r="J136" s="19" t="n">
        <f aca="false">MAX(0, E136-sub_lbs)*sub_overage</f>
        <v>21</v>
      </c>
      <c r="K136" s="19" t="n">
        <f aca="false">I136+J136</f>
        <v>296</v>
      </c>
      <c r="L136" s="20" t="str">
        <f aca="false">IF(K136&lt;H136,"Yes — saves $"&amp;TEXT(H136-K136,"0"),"No")</f>
        <v>Yes — saves $27</v>
      </c>
    </row>
    <row r="137" customFormat="false" ht="15" hidden="false" customHeight="false" outlineLevel="0" collapsed="false">
      <c r="A137" s="7" t="n">
        <v>133</v>
      </c>
      <c r="B137" s="7" t="s">
        <v>221</v>
      </c>
      <c r="C137" s="17" t="n">
        <v>4</v>
      </c>
      <c r="D137" s="17" t="n">
        <v>4</v>
      </c>
      <c r="E137" s="18" t="n">
        <v>107</v>
      </c>
      <c r="F137" s="19" t="n">
        <v>347.8</v>
      </c>
      <c r="G137" s="19" t="n">
        <f aca="false">D137*(new_rate-cur_rate)</f>
        <v>24</v>
      </c>
      <c r="H137" s="19" t="n">
        <f aca="false">F137+G137</f>
        <v>371.8</v>
      </c>
      <c r="I137" s="19" t="n">
        <f aca="false">sub_fee</f>
        <v>275</v>
      </c>
      <c r="J137" s="19" t="n">
        <f aca="false">MAX(0, E137-sub_lbs)*sub_overage</f>
        <v>21</v>
      </c>
      <c r="K137" s="19" t="n">
        <f aca="false">I137+J137</f>
        <v>296</v>
      </c>
      <c r="L137" s="20" t="str">
        <f aca="false">IF(K137&lt;H137,"Yes — saves $"&amp;TEXT(H137-K137,"0"),"No")</f>
        <v>Yes — saves $76</v>
      </c>
    </row>
    <row r="138" customFormat="false" ht="15" hidden="false" customHeight="false" outlineLevel="0" collapsed="false">
      <c r="A138" s="7" t="n">
        <v>134</v>
      </c>
      <c r="B138" s="7" t="s">
        <v>222</v>
      </c>
      <c r="C138" s="17" t="n">
        <v>4</v>
      </c>
      <c r="D138" s="17" t="n">
        <v>4</v>
      </c>
      <c r="E138" s="18" t="n">
        <v>107</v>
      </c>
      <c r="F138" s="19" t="n">
        <v>317.8</v>
      </c>
      <c r="G138" s="19" t="n">
        <f aca="false">D138*(new_rate-cur_rate)</f>
        <v>24</v>
      </c>
      <c r="H138" s="19" t="n">
        <f aca="false">F138+G138</f>
        <v>341.8</v>
      </c>
      <c r="I138" s="19" t="n">
        <f aca="false">sub_fee</f>
        <v>275</v>
      </c>
      <c r="J138" s="19" t="n">
        <f aca="false">MAX(0, E138-sub_lbs)*sub_overage</f>
        <v>21</v>
      </c>
      <c r="K138" s="19" t="n">
        <f aca="false">I138+J138</f>
        <v>296</v>
      </c>
      <c r="L138" s="20" t="str">
        <f aca="false">IF(K138&lt;H138,"Yes — saves $"&amp;TEXT(H138-K138,"0"),"No")</f>
        <v>Yes — saves $46</v>
      </c>
    </row>
    <row r="139" customFormat="false" ht="15" hidden="false" customHeight="false" outlineLevel="0" collapsed="false">
      <c r="A139" s="7" t="n">
        <v>135</v>
      </c>
      <c r="B139" s="7" t="s">
        <v>223</v>
      </c>
      <c r="C139" s="17" t="n">
        <v>5</v>
      </c>
      <c r="D139" s="17" t="n">
        <v>9</v>
      </c>
      <c r="E139" s="18" t="n">
        <v>106</v>
      </c>
      <c r="F139" s="19" t="n">
        <v>546</v>
      </c>
      <c r="G139" s="19" t="n">
        <f aca="false">D139*(new_rate-cur_rate)</f>
        <v>54</v>
      </c>
      <c r="H139" s="19" t="n">
        <f aca="false">F139+G139</f>
        <v>600</v>
      </c>
      <c r="I139" s="19" t="n">
        <f aca="false">sub_fee</f>
        <v>275</v>
      </c>
      <c r="J139" s="19" t="n">
        <f aca="false">MAX(0, E139-sub_lbs)*sub_overage</f>
        <v>18</v>
      </c>
      <c r="K139" s="19" t="n">
        <f aca="false">I139+J139</f>
        <v>293</v>
      </c>
      <c r="L139" s="20" t="str">
        <f aca="false">IF(K139&lt;H139,"Yes — saves $"&amp;TEXT(H139-K139,"0"),"No")</f>
        <v>Yes — saves $307</v>
      </c>
    </row>
    <row r="140" customFormat="false" ht="15" hidden="false" customHeight="false" outlineLevel="0" collapsed="false">
      <c r="A140" s="7" t="n">
        <v>136</v>
      </c>
      <c r="B140" s="7" t="s">
        <v>224</v>
      </c>
      <c r="C140" s="17" t="n">
        <v>3</v>
      </c>
      <c r="D140" s="17" t="n">
        <v>5</v>
      </c>
      <c r="E140" s="18" t="n">
        <v>106</v>
      </c>
      <c r="F140" s="19" t="n">
        <v>304.85</v>
      </c>
      <c r="G140" s="19" t="n">
        <f aca="false">D140*(new_rate-cur_rate)</f>
        <v>30</v>
      </c>
      <c r="H140" s="19" t="n">
        <f aca="false">F140+G140</f>
        <v>334.85</v>
      </c>
      <c r="I140" s="19" t="n">
        <f aca="false">sub_fee</f>
        <v>275</v>
      </c>
      <c r="J140" s="19" t="n">
        <f aca="false">MAX(0, E140-sub_lbs)*sub_overage</f>
        <v>18</v>
      </c>
      <c r="K140" s="19" t="n">
        <f aca="false">I140+J140</f>
        <v>293</v>
      </c>
      <c r="L140" s="20" t="str">
        <f aca="false">IF(K140&lt;H140,"Yes — saves $"&amp;TEXT(H140-K140,"0"),"No")</f>
        <v>Yes — saves $42</v>
      </c>
    </row>
    <row r="141" customFormat="false" ht="15" hidden="false" customHeight="false" outlineLevel="0" collapsed="false">
      <c r="A141" s="7" t="n">
        <v>137</v>
      </c>
      <c r="B141" s="7" t="s">
        <v>225</v>
      </c>
      <c r="C141" s="17" t="n">
        <v>4</v>
      </c>
      <c r="D141" s="17" t="n">
        <v>4</v>
      </c>
      <c r="E141" s="18" t="n">
        <v>106</v>
      </c>
      <c r="F141" s="19" t="n">
        <v>279.8</v>
      </c>
      <c r="G141" s="19" t="n">
        <f aca="false">D141*(new_rate-cur_rate)</f>
        <v>24</v>
      </c>
      <c r="H141" s="19" t="n">
        <f aca="false">F141+G141</f>
        <v>303.8</v>
      </c>
      <c r="I141" s="19" t="n">
        <f aca="false">sub_fee</f>
        <v>275</v>
      </c>
      <c r="J141" s="19" t="n">
        <f aca="false">MAX(0, E141-sub_lbs)*sub_overage</f>
        <v>18</v>
      </c>
      <c r="K141" s="19" t="n">
        <f aca="false">I141+J141</f>
        <v>293</v>
      </c>
      <c r="L141" s="20" t="str">
        <f aca="false">IF(K141&lt;H141,"Yes — saves $"&amp;TEXT(H141-K141,"0"),"No")</f>
        <v>Yes — saves $11</v>
      </c>
    </row>
    <row r="142" customFormat="false" ht="15" hidden="false" customHeight="false" outlineLevel="0" collapsed="false">
      <c r="A142" s="7" t="n">
        <v>138</v>
      </c>
      <c r="B142" s="7" t="s">
        <v>226</v>
      </c>
      <c r="C142" s="17" t="n">
        <v>4</v>
      </c>
      <c r="D142" s="17" t="n">
        <v>4</v>
      </c>
      <c r="E142" s="18" t="n">
        <v>106</v>
      </c>
      <c r="F142" s="19" t="n">
        <v>276.8</v>
      </c>
      <c r="G142" s="19" t="n">
        <f aca="false">D142*(new_rate-cur_rate)</f>
        <v>24</v>
      </c>
      <c r="H142" s="19" t="n">
        <f aca="false">F142+G142</f>
        <v>300.8</v>
      </c>
      <c r="I142" s="19" t="n">
        <f aca="false">sub_fee</f>
        <v>275</v>
      </c>
      <c r="J142" s="19" t="n">
        <f aca="false">MAX(0, E142-sub_lbs)*sub_overage</f>
        <v>18</v>
      </c>
      <c r="K142" s="19" t="n">
        <f aca="false">I142+J142</f>
        <v>293</v>
      </c>
      <c r="L142" s="20" t="str">
        <f aca="false">IF(K142&lt;H142,"Yes — saves $"&amp;TEXT(H142-K142,"0"),"No")</f>
        <v>Yes — saves $8</v>
      </c>
    </row>
    <row r="143" customFormat="false" ht="15" hidden="false" customHeight="false" outlineLevel="0" collapsed="false">
      <c r="A143" s="7" t="n">
        <v>139</v>
      </c>
      <c r="B143" s="7" t="s">
        <v>227</v>
      </c>
      <c r="C143" s="17" t="n">
        <v>4</v>
      </c>
      <c r="D143" s="17" t="n">
        <v>6</v>
      </c>
      <c r="E143" s="18" t="n">
        <v>106</v>
      </c>
      <c r="F143" s="19" t="n">
        <v>373.8</v>
      </c>
      <c r="G143" s="19" t="n">
        <f aca="false">D143*(new_rate-cur_rate)</f>
        <v>36</v>
      </c>
      <c r="H143" s="19" t="n">
        <f aca="false">F143+G143</f>
        <v>409.8</v>
      </c>
      <c r="I143" s="19" t="n">
        <f aca="false">sub_fee</f>
        <v>275</v>
      </c>
      <c r="J143" s="19" t="n">
        <f aca="false">MAX(0, E143-sub_lbs)*sub_overage</f>
        <v>18</v>
      </c>
      <c r="K143" s="19" t="n">
        <f aca="false">I143+J143</f>
        <v>293</v>
      </c>
      <c r="L143" s="20" t="str">
        <f aca="false">IF(K143&lt;H143,"Yes — saves $"&amp;TEXT(H143-K143,"0"),"No")</f>
        <v>Yes — saves $117</v>
      </c>
    </row>
    <row r="144" customFormat="false" ht="15" hidden="false" customHeight="false" outlineLevel="0" collapsed="false">
      <c r="A144" s="7" t="n">
        <v>140</v>
      </c>
      <c r="B144" s="7" t="s">
        <v>228</v>
      </c>
      <c r="C144" s="17" t="n">
        <v>4</v>
      </c>
      <c r="D144" s="17" t="n">
        <v>4</v>
      </c>
      <c r="E144" s="18" t="n">
        <v>106</v>
      </c>
      <c r="F144" s="19" t="n">
        <v>273.8</v>
      </c>
      <c r="G144" s="19" t="n">
        <f aca="false">D144*(new_rate-cur_rate)</f>
        <v>24</v>
      </c>
      <c r="H144" s="19" t="n">
        <f aca="false">F144+G144</f>
        <v>297.8</v>
      </c>
      <c r="I144" s="19" t="n">
        <f aca="false">sub_fee</f>
        <v>275</v>
      </c>
      <c r="J144" s="19" t="n">
        <f aca="false">MAX(0, E144-sub_lbs)*sub_overage</f>
        <v>18</v>
      </c>
      <c r="K144" s="19" t="n">
        <f aca="false">I144+J144</f>
        <v>293</v>
      </c>
      <c r="L144" s="20" t="str">
        <f aca="false">IF(K144&lt;H144,"Yes — saves $"&amp;TEXT(H144-K144,"0"),"No")</f>
        <v>Yes — saves $5</v>
      </c>
    </row>
    <row r="145" customFormat="false" ht="15" hidden="false" customHeight="false" outlineLevel="0" collapsed="false">
      <c r="A145" s="7" t="n">
        <v>141</v>
      </c>
      <c r="B145" s="7" t="s">
        <v>229</v>
      </c>
      <c r="C145" s="17" t="n">
        <v>5</v>
      </c>
      <c r="D145" s="17" t="n">
        <v>5</v>
      </c>
      <c r="E145" s="18" t="n">
        <v>105</v>
      </c>
      <c r="F145" s="19" t="n">
        <v>359.75</v>
      </c>
      <c r="G145" s="19" t="n">
        <f aca="false">D145*(new_rate-cur_rate)</f>
        <v>30</v>
      </c>
      <c r="H145" s="19" t="n">
        <f aca="false">F145+G145</f>
        <v>389.75</v>
      </c>
      <c r="I145" s="19" t="n">
        <f aca="false">sub_fee</f>
        <v>275</v>
      </c>
      <c r="J145" s="19" t="n">
        <f aca="false">MAX(0, E145-sub_lbs)*sub_overage</f>
        <v>15</v>
      </c>
      <c r="K145" s="19" t="n">
        <f aca="false">I145+J145</f>
        <v>290</v>
      </c>
      <c r="L145" s="20" t="str">
        <f aca="false">IF(K145&lt;H145,"Yes — saves $"&amp;TEXT(H145-K145,"0"),"No")</f>
        <v>Yes — saves $100</v>
      </c>
    </row>
    <row r="146" customFormat="false" ht="15" hidden="false" customHeight="false" outlineLevel="0" collapsed="false">
      <c r="A146" s="7" t="n">
        <v>142</v>
      </c>
      <c r="B146" s="7" t="s">
        <v>230</v>
      </c>
      <c r="C146" s="17" t="n">
        <v>6</v>
      </c>
      <c r="D146" s="17" t="n">
        <v>11</v>
      </c>
      <c r="E146" s="18" t="n">
        <v>105</v>
      </c>
      <c r="F146" s="19" t="n">
        <v>808.7</v>
      </c>
      <c r="G146" s="19" t="n">
        <f aca="false">D146*(new_rate-cur_rate)</f>
        <v>66</v>
      </c>
      <c r="H146" s="19" t="n">
        <f aca="false">F146+G146</f>
        <v>874.7</v>
      </c>
      <c r="I146" s="19" t="n">
        <f aca="false">sub_fee</f>
        <v>275</v>
      </c>
      <c r="J146" s="19" t="n">
        <f aca="false">MAX(0, E146-sub_lbs)*sub_overage</f>
        <v>15</v>
      </c>
      <c r="K146" s="19" t="n">
        <f aca="false">I146+J146</f>
        <v>290</v>
      </c>
      <c r="L146" s="20" t="str">
        <f aca="false">IF(K146&lt;H146,"Yes — saves $"&amp;TEXT(H146-K146,"0"),"No")</f>
        <v>Yes — saves $585</v>
      </c>
    </row>
    <row r="147" customFormat="false" ht="15" hidden="false" customHeight="false" outlineLevel="0" collapsed="false">
      <c r="A147" s="7" t="n">
        <v>143</v>
      </c>
      <c r="B147" s="7" t="s">
        <v>231</v>
      </c>
      <c r="C147" s="17" t="n">
        <v>4</v>
      </c>
      <c r="D147" s="17" t="n">
        <v>5</v>
      </c>
      <c r="E147" s="18" t="n">
        <v>105</v>
      </c>
      <c r="F147" s="19" t="n">
        <v>368.8</v>
      </c>
      <c r="G147" s="19" t="n">
        <f aca="false">D147*(new_rate-cur_rate)</f>
        <v>30</v>
      </c>
      <c r="H147" s="19" t="n">
        <f aca="false">F147+G147</f>
        <v>398.8</v>
      </c>
      <c r="I147" s="19" t="n">
        <f aca="false">sub_fee</f>
        <v>275</v>
      </c>
      <c r="J147" s="19" t="n">
        <f aca="false">MAX(0, E147-sub_lbs)*sub_overage</f>
        <v>15</v>
      </c>
      <c r="K147" s="19" t="n">
        <f aca="false">I147+J147</f>
        <v>290</v>
      </c>
      <c r="L147" s="20" t="str">
        <f aca="false">IF(K147&lt;H147,"Yes — saves $"&amp;TEXT(H147-K147,"0"),"No")</f>
        <v>Yes — saves $109</v>
      </c>
    </row>
    <row r="148" customFormat="false" ht="15" hidden="false" customHeight="false" outlineLevel="0" collapsed="false">
      <c r="A148" s="7" t="n">
        <v>144</v>
      </c>
      <c r="B148" s="7" t="s">
        <v>232</v>
      </c>
      <c r="C148" s="17" t="n">
        <v>2</v>
      </c>
      <c r="D148" s="17" t="n">
        <v>4</v>
      </c>
      <c r="E148" s="18" t="n">
        <v>104</v>
      </c>
      <c r="F148" s="19" t="n">
        <v>291.9</v>
      </c>
      <c r="G148" s="19" t="n">
        <f aca="false">D148*(new_rate-cur_rate)</f>
        <v>24</v>
      </c>
      <c r="H148" s="19" t="n">
        <f aca="false">F148+G148</f>
        <v>315.9</v>
      </c>
      <c r="I148" s="19" t="n">
        <f aca="false">sub_fee</f>
        <v>275</v>
      </c>
      <c r="J148" s="19" t="n">
        <f aca="false">MAX(0, E148-sub_lbs)*sub_overage</f>
        <v>12</v>
      </c>
      <c r="K148" s="19" t="n">
        <f aca="false">I148+J148</f>
        <v>287</v>
      </c>
      <c r="L148" s="20" t="str">
        <f aca="false">IF(K148&lt;H148,"Yes — saves $"&amp;TEXT(H148-K148,"0"),"No")</f>
        <v>Yes — saves $29</v>
      </c>
    </row>
    <row r="149" customFormat="false" ht="15" hidden="false" customHeight="false" outlineLevel="0" collapsed="false">
      <c r="A149" s="7" t="n">
        <v>145</v>
      </c>
      <c r="B149" s="7" t="s">
        <v>233</v>
      </c>
      <c r="C149" s="17" t="n">
        <v>4</v>
      </c>
      <c r="D149" s="17" t="n">
        <v>4</v>
      </c>
      <c r="E149" s="18" t="n">
        <v>104</v>
      </c>
      <c r="F149" s="19" t="n">
        <v>276.8</v>
      </c>
      <c r="G149" s="19" t="n">
        <f aca="false">D149*(new_rate-cur_rate)</f>
        <v>24</v>
      </c>
      <c r="H149" s="19" t="n">
        <f aca="false">F149+G149</f>
        <v>300.8</v>
      </c>
      <c r="I149" s="19" t="n">
        <f aca="false">sub_fee</f>
        <v>275</v>
      </c>
      <c r="J149" s="19" t="n">
        <f aca="false">MAX(0, E149-sub_lbs)*sub_overage</f>
        <v>12</v>
      </c>
      <c r="K149" s="19" t="n">
        <f aca="false">I149+J149</f>
        <v>287</v>
      </c>
      <c r="L149" s="20" t="str">
        <f aca="false">IF(K149&lt;H149,"Yes — saves $"&amp;TEXT(H149-K149,"0"),"No")</f>
        <v>Yes — saves $14</v>
      </c>
    </row>
    <row r="150" customFormat="false" ht="15" hidden="false" customHeight="false" outlineLevel="0" collapsed="false">
      <c r="A150" s="7" t="n">
        <v>146</v>
      </c>
      <c r="B150" s="7" t="s">
        <v>234</v>
      </c>
      <c r="C150" s="17" t="n">
        <v>4</v>
      </c>
      <c r="D150" s="17" t="n">
        <v>4</v>
      </c>
      <c r="E150" s="18" t="n">
        <v>104</v>
      </c>
      <c r="F150" s="19" t="n">
        <v>291.8</v>
      </c>
      <c r="G150" s="19" t="n">
        <f aca="false">D150*(new_rate-cur_rate)</f>
        <v>24</v>
      </c>
      <c r="H150" s="19" t="n">
        <f aca="false">F150+G150</f>
        <v>315.8</v>
      </c>
      <c r="I150" s="19" t="n">
        <f aca="false">sub_fee</f>
        <v>275</v>
      </c>
      <c r="J150" s="19" t="n">
        <f aca="false">MAX(0, E150-sub_lbs)*sub_overage</f>
        <v>12</v>
      </c>
      <c r="K150" s="19" t="n">
        <f aca="false">I150+J150</f>
        <v>287</v>
      </c>
      <c r="L150" s="20" t="str">
        <f aca="false">IF(K150&lt;H150,"Yes — saves $"&amp;TEXT(H150-K150,"0"),"No")</f>
        <v>Yes — saves $29</v>
      </c>
    </row>
    <row r="151" customFormat="false" ht="15" hidden="false" customHeight="false" outlineLevel="0" collapsed="false">
      <c r="A151" s="7" t="n">
        <v>147</v>
      </c>
      <c r="B151" s="7" t="s">
        <v>235</v>
      </c>
      <c r="C151" s="17" t="n">
        <v>3</v>
      </c>
      <c r="D151" s="17" t="n">
        <v>4</v>
      </c>
      <c r="E151" s="18" t="n">
        <v>103</v>
      </c>
      <c r="F151" s="19" t="n">
        <v>311.85</v>
      </c>
      <c r="G151" s="19" t="n">
        <f aca="false">D151*(new_rate-cur_rate)</f>
        <v>24</v>
      </c>
      <c r="H151" s="19" t="n">
        <f aca="false">F151+G151</f>
        <v>335.85</v>
      </c>
      <c r="I151" s="19" t="n">
        <f aca="false">sub_fee</f>
        <v>275</v>
      </c>
      <c r="J151" s="19" t="n">
        <f aca="false">MAX(0, E151-sub_lbs)*sub_overage</f>
        <v>9</v>
      </c>
      <c r="K151" s="19" t="n">
        <f aca="false">I151+J151</f>
        <v>284</v>
      </c>
      <c r="L151" s="20" t="str">
        <f aca="false">IF(K151&lt;H151,"Yes — saves $"&amp;TEXT(H151-K151,"0"),"No")</f>
        <v>Yes — saves $52</v>
      </c>
    </row>
    <row r="152" customFormat="false" ht="15" hidden="false" customHeight="false" outlineLevel="0" collapsed="false">
      <c r="A152" s="7" t="n">
        <v>148</v>
      </c>
      <c r="B152" s="7" t="s">
        <v>236</v>
      </c>
      <c r="C152" s="17" t="n">
        <v>1</v>
      </c>
      <c r="D152" s="17" t="n">
        <v>4</v>
      </c>
      <c r="E152" s="18" t="n">
        <v>103</v>
      </c>
      <c r="F152" s="19" t="n">
        <v>276.95</v>
      </c>
      <c r="G152" s="19" t="n">
        <f aca="false">D152*(new_rate-cur_rate)</f>
        <v>24</v>
      </c>
      <c r="H152" s="19" t="n">
        <f aca="false">F152+G152</f>
        <v>300.95</v>
      </c>
      <c r="I152" s="19" t="n">
        <f aca="false">sub_fee</f>
        <v>275</v>
      </c>
      <c r="J152" s="19" t="n">
        <f aca="false">MAX(0, E152-sub_lbs)*sub_overage</f>
        <v>9</v>
      </c>
      <c r="K152" s="19" t="n">
        <f aca="false">I152+J152</f>
        <v>284</v>
      </c>
      <c r="L152" s="20" t="str">
        <f aca="false">IF(K152&lt;H152,"Yes — saves $"&amp;TEXT(H152-K152,"0"),"No")</f>
        <v>Yes — saves $17</v>
      </c>
    </row>
    <row r="153" customFormat="false" ht="15" hidden="false" customHeight="false" outlineLevel="0" collapsed="false">
      <c r="A153" s="7" t="n">
        <v>149</v>
      </c>
      <c r="B153" s="7" t="s">
        <v>237</v>
      </c>
      <c r="C153" s="17" t="n">
        <v>4</v>
      </c>
      <c r="D153" s="17" t="n">
        <v>5</v>
      </c>
      <c r="E153" s="18" t="n">
        <v>103</v>
      </c>
      <c r="F153" s="19" t="n">
        <v>113.95</v>
      </c>
      <c r="G153" s="19" t="n">
        <f aca="false">D153*(new_rate-cur_rate)</f>
        <v>30</v>
      </c>
      <c r="H153" s="19" t="n">
        <f aca="false">F153+G153</f>
        <v>143.95</v>
      </c>
      <c r="I153" s="19" t="n">
        <f aca="false">sub_fee</f>
        <v>275</v>
      </c>
      <c r="J153" s="19" t="n">
        <f aca="false">MAX(0, E153-sub_lbs)*sub_overage</f>
        <v>9</v>
      </c>
      <c r="K153" s="19" t="n">
        <f aca="false">I153+J153</f>
        <v>284</v>
      </c>
      <c r="L153" s="20" t="str">
        <f aca="false">IF(K153&lt;H153,"Yes — saves $"&amp;TEXT(H153-K153,"0"),"No")</f>
        <v>No</v>
      </c>
    </row>
    <row r="154" customFormat="false" ht="15" hidden="false" customHeight="false" outlineLevel="0" collapsed="false">
      <c r="A154" s="7" t="n">
        <v>150</v>
      </c>
      <c r="B154" s="7" t="s">
        <v>238</v>
      </c>
      <c r="C154" s="17" t="n">
        <v>2</v>
      </c>
      <c r="D154" s="17" t="n">
        <v>4</v>
      </c>
      <c r="E154" s="18" t="n">
        <v>103</v>
      </c>
      <c r="F154" s="19" t="n">
        <v>247.9</v>
      </c>
      <c r="G154" s="19" t="n">
        <f aca="false">D154*(new_rate-cur_rate)</f>
        <v>24</v>
      </c>
      <c r="H154" s="19" t="n">
        <f aca="false">F154+G154</f>
        <v>271.9</v>
      </c>
      <c r="I154" s="19" t="n">
        <f aca="false">sub_fee</f>
        <v>275</v>
      </c>
      <c r="J154" s="19" t="n">
        <f aca="false">MAX(0, E154-sub_lbs)*sub_overage</f>
        <v>9</v>
      </c>
      <c r="K154" s="19" t="n">
        <f aca="false">I154+J154</f>
        <v>284</v>
      </c>
      <c r="L154" s="20" t="str">
        <f aca="false">IF(K154&lt;H154,"Yes — saves $"&amp;TEXT(H154-K154,"0"),"No")</f>
        <v>No</v>
      </c>
    </row>
    <row r="155" customFormat="false" ht="15" hidden="false" customHeight="false" outlineLevel="0" collapsed="false">
      <c r="A155" s="7" t="n">
        <v>151</v>
      </c>
      <c r="B155" s="7" t="s">
        <v>239</v>
      </c>
      <c r="C155" s="17" t="n">
        <v>4</v>
      </c>
      <c r="D155" s="17" t="n">
        <v>4</v>
      </c>
      <c r="E155" s="18" t="n">
        <v>102</v>
      </c>
      <c r="F155" s="19" t="n">
        <v>384.8</v>
      </c>
      <c r="G155" s="19" t="n">
        <f aca="false">D155*(new_rate-cur_rate)</f>
        <v>24</v>
      </c>
      <c r="H155" s="19" t="n">
        <f aca="false">F155+G155</f>
        <v>408.8</v>
      </c>
      <c r="I155" s="19" t="n">
        <f aca="false">sub_fee</f>
        <v>275</v>
      </c>
      <c r="J155" s="19" t="n">
        <f aca="false">MAX(0, E155-sub_lbs)*sub_overage</f>
        <v>6</v>
      </c>
      <c r="K155" s="19" t="n">
        <f aca="false">I155+J155</f>
        <v>281</v>
      </c>
      <c r="L155" s="20" t="str">
        <f aca="false">IF(K155&lt;H155,"Yes — saves $"&amp;TEXT(H155-K155,"0"),"No")</f>
        <v>Yes — saves $128</v>
      </c>
    </row>
    <row r="156" customFormat="false" ht="15" hidden="false" customHeight="false" outlineLevel="0" collapsed="false">
      <c r="A156" s="7" t="n">
        <v>152</v>
      </c>
      <c r="B156" s="7" t="s">
        <v>240</v>
      </c>
      <c r="C156" s="17" t="n">
        <v>4</v>
      </c>
      <c r="D156" s="17" t="n">
        <v>6</v>
      </c>
      <c r="E156" s="18" t="n">
        <v>102</v>
      </c>
      <c r="F156" s="19" t="n">
        <v>393.8</v>
      </c>
      <c r="G156" s="19" t="n">
        <f aca="false">D156*(new_rate-cur_rate)</f>
        <v>36</v>
      </c>
      <c r="H156" s="19" t="n">
        <f aca="false">F156+G156</f>
        <v>429.8</v>
      </c>
      <c r="I156" s="19" t="n">
        <f aca="false">sub_fee</f>
        <v>275</v>
      </c>
      <c r="J156" s="19" t="n">
        <f aca="false">MAX(0, E156-sub_lbs)*sub_overage</f>
        <v>6</v>
      </c>
      <c r="K156" s="19" t="n">
        <f aca="false">I156+J156</f>
        <v>281</v>
      </c>
      <c r="L156" s="20" t="str">
        <f aca="false">IF(K156&lt;H156,"Yes — saves $"&amp;TEXT(H156-K156,"0"),"No")</f>
        <v>Yes — saves $149</v>
      </c>
    </row>
    <row r="157" customFormat="false" ht="15" hidden="false" customHeight="false" outlineLevel="0" collapsed="false">
      <c r="A157" s="7" t="n">
        <v>153</v>
      </c>
      <c r="B157" s="7" t="s">
        <v>241</v>
      </c>
      <c r="C157" s="17" t="n">
        <v>4</v>
      </c>
      <c r="D157" s="17" t="n">
        <v>4</v>
      </c>
      <c r="E157" s="18" t="n">
        <v>102</v>
      </c>
      <c r="F157" s="19" t="n">
        <v>276.8</v>
      </c>
      <c r="G157" s="19" t="n">
        <f aca="false">D157*(new_rate-cur_rate)</f>
        <v>24</v>
      </c>
      <c r="H157" s="19" t="n">
        <f aca="false">F157+G157</f>
        <v>300.8</v>
      </c>
      <c r="I157" s="19" t="n">
        <f aca="false">sub_fee</f>
        <v>275</v>
      </c>
      <c r="J157" s="19" t="n">
        <f aca="false">MAX(0, E157-sub_lbs)*sub_overage</f>
        <v>6</v>
      </c>
      <c r="K157" s="19" t="n">
        <f aca="false">I157+J157</f>
        <v>281</v>
      </c>
      <c r="L157" s="20" t="str">
        <f aca="false">IF(K157&lt;H157,"Yes — saves $"&amp;TEXT(H157-K157,"0"),"No")</f>
        <v>Yes — saves $20</v>
      </c>
    </row>
    <row r="158" customFormat="false" ht="15" hidden="false" customHeight="false" outlineLevel="0" collapsed="false">
      <c r="A158" s="7" t="n">
        <v>154</v>
      </c>
      <c r="B158" s="7" t="s">
        <v>242</v>
      </c>
      <c r="C158" s="17" t="n">
        <v>4</v>
      </c>
      <c r="D158" s="17" t="n">
        <v>4</v>
      </c>
      <c r="E158" s="18" t="n">
        <v>101</v>
      </c>
      <c r="F158" s="19" t="n">
        <v>282.8</v>
      </c>
      <c r="G158" s="19" t="n">
        <f aca="false">D158*(new_rate-cur_rate)</f>
        <v>24</v>
      </c>
      <c r="H158" s="19" t="n">
        <f aca="false">F158+G158</f>
        <v>306.8</v>
      </c>
      <c r="I158" s="19" t="n">
        <f aca="false">sub_fee</f>
        <v>275</v>
      </c>
      <c r="J158" s="19" t="n">
        <f aca="false">MAX(0, E158-sub_lbs)*sub_overage</f>
        <v>3</v>
      </c>
      <c r="K158" s="19" t="n">
        <f aca="false">I158+J158</f>
        <v>278</v>
      </c>
      <c r="L158" s="20" t="str">
        <f aca="false">IF(K158&lt;H158,"Yes — saves $"&amp;TEXT(H158-K158,"0"),"No")</f>
        <v>Yes — saves $29</v>
      </c>
    </row>
    <row r="159" customFormat="false" ht="15" hidden="false" customHeight="false" outlineLevel="0" collapsed="false">
      <c r="A159" s="7" t="n">
        <v>155</v>
      </c>
      <c r="B159" s="7" t="s">
        <v>243</v>
      </c>
      <c r="C159" s="17" t="n">
        <v>2</v>
      </c>
      <c r="D159" s="17" t="n">
        <v>4</v>
      </c>
      <c r="E159" s="18" t="n">
        <v>101</v>
      </c>
      <c r="F159" s="19" t="n">
        <v>267.9</v>
      </c>
      <c r="G159" s="19" t="n">
        <f aca="false">D159*(new_rate-cur_rate)</f>
        <v>24</v>
      </c>
      <c r="H159" s="19" t="n">
        <f aca="false">F159+G159</f>
        <v>291.9</v>
      </c>
      <c r="I159" s="19" t="n">
        <f aca="false">sub_fee</f>
        <v>275</v>
      </c>
      <c r="J159" s="19" t="n">
        <f aca="false">MAX(0, E159-sub_lbs)*sub_overage</f>
        <v>3</v>
      </c>
      <c r="K159" s="19" t="n">
        <f aca="false">I159+J159</f>
        <v>278</v>
      </c>
      <c r="L159" s="20" t="str">
        <f aca="false">IF(K159&lt;H159,"Yes — saves $"&amp;TEXT(H159-K159,"0"),"No")</f>
        <v>Yes — saves $14</v>
      </c>
    </row>
    <row r="160" customFormat="false" ht="15" hidden="false" customHeight="false" outlineLevel="0" collapsed="false">
      <c r="A160" s="7" t="n">
        <v>156</v>
      </c>
      <c r="B160" s="7" t="s">
        <v>244</v>
      </c>
      <c r="C160" s="17" t="n">
        <v>4</v>
      </c>
      <c r="D160" s="17" t="n">
        <v>4</v>
      </c>
      <c r="E160" s="18" t="n">
        <v>100</v>
      </c>
      <c r="F160" s="19" t="n">
        <v>284.8</v>
      </c>
      <c r="G160" s="19" t="n">
        <f aca="false">D160*(new_rate-cur_rate)</f>
        <v>24</v>
      </c>
      <c r="H160" s="19" t="n">
        <f aca="false">F160+G160</f>
        <v>308.8</v>
      </c>
      <c r="I160" s="19" t="n">
        <f aca="false">sub_fee</f>
        <v>275</v>
      </c>
      <c r="J160" s="19" t="n">
        <f aca="false">MAX(0, E160-sub_lbs)*sub_overage</f>
        <v>0</v>
      </c>
      <c r="K160" s="19" t="n">
        <f aca="false">I160+J160</f>
        <v>275</v>
      </c>
      <c r="L160" s="20" t="str">
        <f aca="false">IF(K160&lt;H160,"Yes — saves $"&amp;TEXT(H160-K160,"0"),"No")</f>
        <v>Yes — saves $34</v>
      </c>
    </row>
    <row r="161" customFormat="false" ht="15" hidden="false" customHeight="false" outlineLevel="0" collapsed="false">
      <c r="A161" s="7" t="n">
        <v>157</v>
      </c>
      <c r="B161" s="7" t="s">
        <v>245</v>
      </c>
      <c r="C161" s="17" t="n">
        <v>4</v>
      </c>
      <c r="D161" s="17" t="n">
        <v>4</v>
      </c>
      <c r="E161" s="18" t="n">
        <v>99</v>
      </c>
      <c r="F161" s="19" t="n">
        <v>288.8</v>
      </c>
      <c r="G161" s="19" t="n">
        <f aca="false">D161*(new_rate-cur_rate)</f>
        <v>24</v>
      </c>
      <c r="H161" s="19" t="n">
        <f aca="false">F161+G161</f>
        <v>312.8</v>
      </c>
      <c r="I161" s="19" t="n">
        <f aca="false">sub_fee</f>
        <v>275</v>
      </c>
      <c r="J161" s="19" t="n">
        <f aca="false">MAX(0, E161-sub_lbs)*sub_overage</f>
        <v>0</v>
      </c>
      <c r="K161" s="19" t="n">
        <f aca="false">I161+J161</f>
        <v>275</v>
      </c>
      <c r="L161" s="20" t="str">
        <f aca="false">IF(K161&lt;H161,"Yes — saves $"&amp;TEXT(H161-K161,"0"),"No")</f>
        <v>Yes — saves $38</v>
      </c>
    </row>
    <row r="162" customFormat="false" ht="15" hidden="false" customHeight="false" outlineLevel="0" collapsed="false">
      <c r="A162" s="7" t="n">
        <v>158</v>
      </c>
      <c r="B162" s="7" t="s">
        <v>246</v>
      </c>
      <c r="C162" s="17" t="n">
        <v>4</v>
      </c>
      <c r="D162" s="17" t="n">
        <v>7</v>
      </c>
      <c r="E162" s="18" t="n">
        <v>99</v>
      </c>
      <c r="F162" s="19" t="n">
        <v>432.8</v>
      </c>
      <c r="G162" s="19" t="n">
        <f aca="false">D162*(new_rate-cur_rate)</f>
        <v>42</v>
      </c>
      <c r="H162" s="19" t="n">
        <f aca="false">F162+G162</f>
        <v>474.8</v>
      </c>
      <c r="I162" s="19" t="n">
        <f aca="false">sub_fee</f>
        <v>275</v>
      </c>
      <c r="J162" s="19" t="n">
        <f aca="false">MAX(0, E162-sub_lbs)*sub_overage</f>
        <v>0</v>
      </c>
      <c r="K162" s="19" t="n">
        <f aca="false">I162+J162</f>
        <v>275</v>
      </c>
      <c r="L162" s="20" t="str">
        <f aca="false">IF(K162&lt;H162,"Yes — saves $"&amp;TEXT(H162-K162,"0"),"No")</f>
        <v>Yes — saves $200</v>
      </c>
    </row>
    <row r="163" customFormat="false" ht="15" hidden="false" customHeight="false" outlineLevel="0" collapsed="false">
      <c r="A163" s="7" t="n">
        <v>159</v>
      </c>
      <c r="B163" s="7" t="s">
        <v>247</v>
      </c>
      <c r="C163" s="17" t="n">
        <v>4</v>
      </c>
      <c r="D163" s="17" t="n">
        <v>4</v>
      </c>
      <c r="E163" s="18" t="n">
        <v>99</v>
      </c>
      <c r="F163" s="19" t="n">
        <v>335.8</v>
      </c>
      <c r="G163" s="19" t="n">
        <f aca="false">D163*(new_rate-cur_rate)</f>
        <v>24</v>
      </c>
      <c r="H163" s="19" t="n">
        <f aca="false">F163+G163</f>
        <v>359.8</v>
      </c>
      <c r="I163" s="19" t="n">
        <f aca="false">sub_fee</f>
        <v>275</v>
      </c>
      <c r="J163" s="19" t="n">
        <f aca="false">MAX(0, E163-sub_lbs)*sub_overage</f>
        <v>0</v>
      </c>
      <c r="K163" s="19" t="n">
        <f aca="false">I163+J163</f>
        <v>275</v>
      </c>
      <c r="L163" s="20" t="str">
        <f aca="false">IF(K163&lt;H163,"Yes — saves $"&amp;TEXT(H163-K163,"0"),"No")</f>
        <v>Yes — saves $85</v>
      </c>
    </row>
    <row r="164" customFormat="false" ht="15" hidden="false" customHeight="false" outlineLevel="0" collapsed="false">
      <c r="A164" s="7" t="n">
        <v>160</v>
      </c>
      <c r="B164" s="7" t="s">
        <v>248</v>
      </c>
      <c r="C164" s="17" t="n">
        <v>2</v>
      </c>
      <c r="D164" s="17" t="n">
        <v>4</v>
      </c>
      <c r="E164" s="18" t="n">
        <v>99</v>
      </c>
      <c r="F164" s="19" t="n">
        <v>253.9</v>
      </c>
      <c r="G164" s="19" t="n">
        <f aca="false">D164*(new_rate-cur_rate)</f>
        <v>24</v>
      </c>
      <c r="H164" s="19" t="n">
        <f aca="false">F164+G164</f>
        <v>277.9</v>
      </c>
      <c r="I164" s="19" t="n">
        <f aca="false">sub_fee</f>
        <v>275</v>
      </c>
      <c r="J164" s="19" t="n">
        <f aca="false">MAX(0, E164-sub_lbs)*sub_overage</f>
        <v>0</v>
      </c>
      <c r="K164" s="19" t="n">
        <f aca="false">I164+J164</f>
        <v>275</v>
      </c>
      <c r="L164" s="20" t="str">
        <f aca="false">IF(K164&lt;H164,"Yes — saves $"&amp;TEXT(H164-K164,"0"),"No")</f>
        <v>Yes — saves $3</v>
      </c>
    </row>
    <row r="165" customFormat="false" ht="15" hidden="false" customHeight="false" outlineLevel="0" collapsed="false">
      <c r="A165" s="7" t="n">
        <v>161</v>
      </c>
      <c r="B165" s="7" t="s">
        <v>249</v>
      </c>
      <c r="C165" s="17" t="n">
        <v>2</v>
      </c>
      <c r="D165" s="17" t="n">
        <v>4</v>
      </c>
      <c r="E165" s="18" t="n">
        <v>99</v>
      </c>
      <c r="F165" s="19" t="n">
        <v>324.9</v>
      </c>
      <c r="G165" s="19" t="n">
        <f aca="false">D165*(new_rate-cur_rate)</f>
        <v>24</v>
      </c>
      <c r="H165" s="19" t="n">
        <f aca="false">F165+G165</f>
        <v>348.9</v>
      </c>
      <c r="I165" s="19" t="n">
        <f aca="false">sub_fee</f>
        <v>275</v>
      </c>
      <c r="J165" s="19" t="n">
        <f aca="false">MAX(0, E165-sub_lbs)*sub_overage</f>
        <v>0</v>
      </c>
      <c r="K165" s="19" t="n">
        <f aca="false">I165+J165</f>
        <v>275</v>
      </c>
      <c r="L165" s="20" t="str">
        <f aca="false">IF(K165&lt;H165,"Yes — saves $"&amp;TEXT(H165-K165,"0"),"No")</f>
        <v>Yes — saves $74</v>
      </c>
    </row>
    <row r="166" customFormat="false" ht="15" hidden="false" customHeight="false" outlineLevel="0" collapsed="false">
      <c r="A166" s="7" t="n">
        <v>162</v>
      </c>
      <c r="B166" s="7" t="s">
        <v>250</v>
      </c>
      <c r="C166" s="17" t="n">
        <v>4</v>
      </c>
      <c r="D166" s="17" t="n">
        <v>4</v>
      </c>
      <c r="E166" s="18" t="n">
        <v>99</v>
      </c>
      <c r="F166" s="19" t="n">
        <v>273.8</v>
      </c>
      <c r="G166" s="19" t="n">
        <f aca="false">D166*(new_rate-cur_rate)</f>
        <v>24</v>
      </c>
      <c r="H166" s="19" t="n">
        <f aca="false">F166+G166</f>
        <v>297.8</v>
      </c>
      <c r="I166" s="19" t="n">
        <f aca="false">sub_fee</f>
        <v>275</v>
      </c>
      <c r="J166" s="19" t="n">
        <f aca="false">MAX(0, E166-sub_lbs)*sub_overage</f>
        <v>0</v>
      </c>
      <c r="K166" s="19" t="n">
        <f aca="false">I166+J166</f>
        <v>275</v>
      </c>
      <c r="L166" s="20" t="str">
        <f aca="false">IF(K166&lt;H166,"Yes — saves $"&amp;TEXT(H166-K166,"0"),"No")</f>
        <v>Yes — saves $23</v>
      </c>
    </row>
    <row r="167" customFormat="false" ht="15" hidden="false" customHeight="false" outlineLevel="0" collapsed="false">
      <c r="A167" s="7" t="n">
        <v>163</v>
      </c>
      <c r="B167" s="7" t="s">
        <v>251</v>
      </c>
      <c r="C167" s="17" t="n">
        <v>4</v>
      </c>
      <c r="D167" s="17" t="n">
        <v>4</v>
      </c>
      <c r="E167" s="18" t="n">
        <v>98</v>
      </c>
      <c r="F167" s="19" t="n">
        <v>285.8</v>
      </c>
      <c r="G167" s="19" t="n">
        <f aca="false">D167*(new_rate-cur_rate)</f>
        <v>24</v>
      </c>
      <c r="H167" s="19" t="n">
        <f aca="false">F167+G167</f>
        <v>309.8</v>
      </c>
      <c r="I167" s="19" t="n">
        <f aca="false">sub_fee</f>
        <v>275</v>
      </c>
      <c r="J167" s="19" t="n">
        <f aca="false">MAX(0, E167-sub_lbs)*sub_overage</f>
        <v>0</v>
      </c>
      <c r="K167" s="19" t="n">
        <f aca="false">I167+J167</f>
        <v>275</v>
      </c>
      <c r="L167" s="20" t="str">
        <f aca="false">IF(K167&lt;H167,"Yes — saves $"&amp;TEXT(H167-K167,"0"),"No")</f>
        <v>Yes — saves $35</v>
      </c>
    </row>
    <row r="168" customFormat="false" ht="15" hidden="false" customHeight="false" outlineLevel="0" collapsed="false">
      <c r="A168" s="7" t="n">
        <v>164</v>
      </c>
      <c r="B168" s="7" t="s">
        <v>252</v>
      </c>
      <c r="C168" s="17" t="n">
        <v>5</v>
      </c>
      <c r="D168" s="17" t="n">
        <v>10</v>
      </c>
      <c r="E168" s="18" t="n">
        <v>98</v>
      </c>
      <c r="F168" s="19" t="n">
        <v>639.75</v>
      </c>
      <c r="G168" s="19" t="n">
        <f aca="false">D168*(new_rate-cur_rate)</f>
        <v>60</v>
      </c>
      <c r="H168" s="19" t="n">
        <f aca="false">F168+G168</f>
        <v>699.75</v>
      </c>
      <c r="I168" s="19" t="n">
        <f aca="false">sub_fee</f>
        <v>275</v>
      </c>
      <c r="J168" s="19" t="n">
        <f aca="false">MAX(0, E168-sub_lbs)*sub_overage</f>
        <v>0</v>
      </c>
      <c r="K168" s="19" t="n">
        <f aca="false">I168+J168</f>
        <v>275</v>
      </c>
      <c r="L168" s="20" t="str">
        <f aca="false">IF(K168&lt;H168,"Yes — saves $"&amp;TEXT(H168-K168,"0"),"No")</f>
        <v>Yes — saves $425</v>
      </c>
    </row>
    <row r="169" customFormat="false" ht="15" hidden="false" customHeight="false" outlineLevel="0" collapsed="false">
      <c r="A169" s="7" t="n">
        <v>165</v>
      </c>
      <c r="B169" s="7" t="s">
        <v>253</v>
      </c>
      <c r="C169" s="17" t="n">
        <v>4</v>
      </c>
      <c r="D169" s="17" t="n">
        <v>4</v>
      </c>
      <c r="E169" s="18" t="n">
        <v>97</v>
      </c>
      <c r="F169" s="19" t="n">
        <v>255.8</v>
      </c>
      <c r="G169" s="19" t="n">
        <f aca="false">D169*(new_rate-cur_rate)</f>
        <v>24</v>
      </c>
      <c r="H169" s="19" t="n">
        <f aca="false">F169+G169</f>
        <v>279.8</v>
      </c>
      <c r="I169" s="19" t="n">
        <f aca="false">sub_fee</f>
        <v>275</v>
      </c>
      <c r="J169" s="19" t="n">
        <f aca="false">MAX(0, E169-sub_lbs)*sub_overage</f>
        <v>0</v>
      </c>
      <c r="K169" s="19" t="n">
        <f aca="false">I169+J169</f>
        <v>275</v>
      </c>
      <c r="L169" s="20" t="str">
        <f aca="false">IF(K169&lt;H169,"Yes — saves $"&amp;TEXT(H169-K169,"0"),"No")</f>
        <v>Yes — saves $5</v>
      </c>
    </row>
    <row r="170" customFormat="false" ht="15" hidden="false" customHeight="false" outlineLevel="0" collapsed="false">
      <c r="A170" s="7" t="n">
        <v>166</v>
      </c>
      <c r="B170" s="7" t="s">
        <v>254</v>
      </c>
      <c r="C170" s="17" t="n">
        <v>4</v>
      </c>
      <c r="D170" s="17" t="n">
        <v>4</v>
      </c>
      <c r="E170" s="18" t="n">
        <v>97</v>
      </c>
      <c r="F170" s="19" t="n">
        <v>296.8</v>
      </c>
      <c r="G170" s="19" t="n">
        <f aca="false">D170*(new_rate-cur_rate)</f>
        <v>24</v>
      </c>
      <c r="H170" s="19" t="n">
        <f aca="false">F170+G170</f>
        <v>320.8</v>
      </c>
      <c r="I170" s="19" t="n">
        <f aca="false">sub_fee</f>
        <v>275</v>
      </c>
      <c r="J170" s="19" t="n">
        <f aca="false">MAX(0, E170-sub_lbs)*sub_overage</f>
        <v>0</v>
      </c>
      <c r="K170" s="19" t="n">
        <f aca="false">I170+J170</f>
        <v>275</v>
      </c>
      <c r="L170" s="20" t="str">
        <f aca="false">IF(K170&lt;H170,"Yes — saves $"&amp;TEXT(H170-K170,"0"),"No")</f>
        <v>Yes — saves $46</v>
      </c>
    </row>
    <row r="171" customFormat="false" ht="15" hidden="false" customHeight="false" outlineLevel="0" collapsed="false">
      <c r="A171" s="7" t="n">
        <v>167</v>
      </c>
      <c r="B171" s="7" t="s">
        <v>255</v>
      </c>
      <c r="C171" s="17" t="n">
        <v>2</v>
      </c>
      <c r="D171" s="17" t="n">
        <v>4</v>
      </c>
      <c r="E171" s="18" t="n">
        <v>97</v>
      </c>
      <c r="F171" s="19" t="n">
        <v>273.9</v>
      </c>
      <c r="G171" s="19" t="n">
        <f aca="false">D171*(new_rate-cur_rate)</f>
        <v>24</v>
      </c>
      <c r="H171" s="19" t="n">
        <f aca="false">F171+G171</f>
        <v>297.9</v>
      </c>
      <c r="I171" s="19" t="n">
        <f aca="false">sub_fee</f>
        <v>275</v>
      </c>
      <c r="J171" s="19" t="n">
        <f aca="false">MAX(0, E171-sub_lbs)*sub_overage</f>
        <v>0</v>
      </c>
      <c r="K171" s="19" t="n">
        <f aca="false">I171+J171</f>
        <v>275</v>
      </c>
      <c r="L171" s="20" t="str">
        <f aca="false">IF(K171&lt;H171,"Yes — saves $"&amp;TEXT(H171-K171,"0"),"No")</f>
        <v>Yes — saves $23</v>
      </c>
    </row>
    <row r="172" customFormat="false" ht="15" hidden="false" customHeight="false" outlineLevel="0" collapsed="false">
      <c r="A172" s="7" t="n">
        <v>168</v>
      </c>
      <c r="B172" s="7" t="s">
        <v>256</v>
      </c>
      <c r="C172" s="17" t="n">
        <v>4</v>
      </c>
      <c r="D172" s="17" t="n">
        <v>4</v>
      </c>
      <c r="E172" s="18" t="n">
        <v>97</v>
      </c>
      <c r="F172" s="19" t="n">
        <v>270.8</v>
      </c>
      <c r="G172" s="19" t="n">
        <f aca="false">D172*(new_rate-cur_rate)</f>
        <v>24</v>
      </c>
      <c r="H172" s="19" t="n">
        <f aca="false">F172+G172</f>
        <v>294.8</v>
      </c>
      <c r="I172" s="19" t="n">
        <f aca="false">sub_fee</f>
        <v>275</v>
      </c>
      <c r="J172" s="19" t="n">
        <f aca="false">MAX(0, E172-sub_lbs)*sub_overage</f>
        <v>0</v>
      </c>
      <c r="K172" s="19" t="n">
        <f aca="false">I172+J172</f>
        <v>275</v>
      </c>
      <c r="L172" s="20" t="str">
        <f aca="false">IF(K172&lt;H172,"Yes — saves $"&amp;TEXT(H172-K172,"0"),"No")</f>
        <v>Yes — saves $20</v>
      </c>
    </row>
    <row r="173" customFormat="false" ht="15" hidden="false" customHeight="false" outlineLevel="0" collapsed="false">
      <c r="A173" s="7" t="n">
        <v>169</v>
      </c>
      <c r="B173" s="7" t="s">
        <v>257</v>
      </c>
      <c r="C173" s="17" t="n">
        <v>3</v>
      </c>
      <c r="D173" s="17" t="n">
        <v>4</v>
      </c>
      <c r="E173" s="18" t="n">
        <v>97</v>
      </c>
      <c r="F173" s="19" t="n">
        <v>263.85</v>
      </c>
      <c r="G173" s="19" t="n">
        <f aca="false">D173*(new_rate-cur_rate)</f>
        <v>24</v>
      </c>
      <c r="H173" s="19" t="n">
        <f aca="false">F173+G173</f>
        <v>287.85</v>
      </c>
      <c r="I173" s="19" t="n">
        <f aca="false">sub_fee</f>
        <v>275</v>
      </c>
      <c r="J173" s="19" t="n">
        <f aca="false">MAX(0, E173-sub_lbs)*sub_overage</f>
        <v>0</v>
      </c>
      <c r="K173" s="19" t="n">
        <f aca="false">I173+J173</f>
        <v>275</v>
      </c>
      <c r="L173" s="20" t="str">
        <f aca="false">IF(K173&lt;H173,"Yes — saves $"&amp;TEXT(H173-K173,"0"),"No")</f>
        <v>Yes — saves $13</v>
      </c>
    </row>
    <row r="174" customFormat="false" ht="15" hidden="false" customHeight="false" outlineLevel="0" collapsed="false">
      <c r="A174" s="7" t="n">
        <v>170</v>
      </c>
      <c r="B174" s="7" t="s">
        <v>258</v>
      </c>
      <c r="C174" s="17" t="n">
        <v>2</v>
      </c>
      <c r="D174" s="17" t="n">
        <v>4</v>
      </c>
      <c r="E174" s="18" t="n">
        <v>97</v>
      </c>
      <c r="F174" s="19" t="n">
        <v>270.9</v>
      </c>
      <c r="G174" s="19" t="n">
        <f aca="false">D174*(new_rate-cur_rate)</f>
        <v>24</v>
      </c>
      <c r="H174" s="19" t="n">
        <f aca="false">F174+G174</f>
        <v>294.9</v>
      </c>
      <c r="I174" s="19" t="n">
        <f aca="false">sub_fee</f>
        <v>275</v>
      </c>
      <c r="J174" s="19" t="n">
        <f aca="false">MAX(0, E174-sub_lbs)*sub_overage</f>
        <v>0</v>
      </c>
      <c r="K174" s="19" t="n">
        <f aca="false">I174+J174</f>
        <v>275</v>
      </c>
      <c r="L174" s="20" t="str">
        <f aca="false">IF(K174&lt;H174,"Yes — saves $"&amp;TEXT(H174-K174,"0"),"No")</f>
        <v>Yes — saves $20</v>
      </c>
    </row>
    <row r="175" customFormat="false" ht="15" hidden="false" customHeight="false" outlineLevel="0" collapsed="false">
      <c r="A175" s="7" t="n">
        <v>171</v>
      </c>
      <c r="B175" s="7" t="s">
        <v>259</v>
      </c>
      <c r="C175" s="17" t="n">
        <v>3</v>
      </c>
      <c r="D175" s="17" t="n">
        <v>5</v>
      </c>
      <c r="E175" s="18" t="n">
        <v>96</v>
      </c>
      <c r="F175" s="19" t="n">
        <v>354.85</v>
      </c>
      <c r="G175" s="19" t="n">
        <f aca="false">D175*(new_rate-cur_rate)</f>
        <v>30</v>
      </c>
      <c r="H175" s="19" t="n">
        <f aca="false">F175+G175</f>
        <v>384.85</v>
      </c>
      <c r="I175" s="19" t="n">
        <f aca="false">sub_fee</f>
        <v>275</v>
      </c>
      <c r="J175" s="19" t="n">
        <f aca="false">MAX(0, E175-sub_lbs)*sub_overage</f>
        <v>0</v>
      </c>
      <c r="K175" s="19" t="n">
        <f aca="false">I175+J175</f>
        <v>275</v>
      </c>
      <c r="L175" s="20" t="str">
        <f aca="false">IF(K175&lt;H175,"Yes — saves $"&amp;TEXT(H175-K175,"0"),"No")</f>
        <v>Yes — saves $110</v>
      </c>
    </row>
    <row r="176" customFormat="false" ht="15" hidden="false" customHeight="false" outlineLevel="0" collapsed="false">
      <c r="A176" s="7" t="n">
        <v>172</v>
      </c>
      <c r="B176" s="7" t="s">
        <v>260</v>
      </c>
      <c r="C176" s="17" t="n">
        <v>4</v>
      </c>
      <c r="D176" s="17" t="n">
        <v>4</v>
      </c>
      <c r="E176" s="18" t="n">
        <v>96</v>
      </c>
      <c r="F176" s="19" t="n">
        <v>279.8</v>
      </c>
      <c r="G176" s="19" t="n">
        <f aca="false">D176*(new_rate-cur_rate)</f>
        <v>24</v>
      </c>
      <c r="H176" s="19" t="n">
        <f aca="false">F176+G176</f>
        <v>303.8</v>
      </c>
      <c r="I176" s="19" t="n">
        <f aca="false">sub_fee</f>
        <v>275</v>
      </c>
      <c r="J176" s="19" t="n">
        <f aca="false">MAX(0, E176-sub_lbs)*sub_overage</f>
        <v>0</v>
      </c>
      <c r="K176" s="19" t="n">
        <f aca="false">I176+J176</f>
        <v>275</v>
      </c>
      <c r="L176" s="20" t="str">
        <f aca="false">IF(K176&lt;H176,"Yes — saves $"&amp;TEXT(H176-K176,"0"),"No")</f>
        <v>Yes — saves $29</v>
      </c>
    </row>
    <row r="177" customFormat="false" ht="15" hidden="false" customHeight="false" outlineLevel="0" collapsed="false">
      <c r="A177" s="7" t="n">
        <v>173</v>
      </c>
      <c r="B177" s="7" t="s">
        <v>261</v>
      </c>
      <c r="C177" s="17" t="n">
        <v>4</v>
      </c>
      <c r="D177" s="17" t="n">
        <v>4</v>
      </c>
      <c r="E177" s="18" t="n">
        <v>96</v>
      </c>
      <c r="F177" s="19" t="n">
        <v>267.8</v>
      </c>
      <c r="G177" s="19" t="n">
        <f aca="false">D177*(new_rate-cur_rate)</f>
        <v>24</v>
      </c>
      <c r="H177" s="19" t="n">
        <f aca="false">F177+G177</f>
        <v>291.8</v>
      </c>
      <c r="I177" s="19" t="n">
        <f aca="false">sub_fee</f>
        <v>275</v>
      </c>
      <c r="J177" s="19" t="n">
        <f aca="false">MAX(0, E177-sub_lbs)*sub_overage</f>
        <v>0</v>
      </c>
      <c r="K177" s="19" t="n">
        <f aca="false">I177+J177</f>
        <v>275</v>
      </c>
      <c r="L177" s="20" t="str">
        <f aca="false">IF(K177&lt;H177,"Yes — saves $"&amp;TEXT(H177-K177,"0"),"No")</f>
        <v>Yes — saves $17</v>
      </c>
    </row>
    <row r="178" customFormat="false" ht="15" hidden="false" customHeight="false" outlineLevel="0" collapsed="false">
      <c r="A178" s="7" t="n">
        <v>174</v>
      </c>
      <c r="B178" s="7" t="s">
        <v>262</v>
      </c>
      <c r="C178" s="17" t="n">
        <v>4</v>
      </c>
      <c r="D178" s="17" t="n">
        <v>8</v>
      </c>
      <c r="E178" s="18" t="n">
        <v>96</v>
      </c>
      <c r="F178" s="19" t="n">
        <v>366.15</v>
      </c>
      <c r="G178" s="19" t="n">
        <f aca="false">D178*(new_rate-cur_rate)</f>
        <v>48</v>
      </c>
      <c r="H178" s="19" t="n">
        <f aca="false">F178+G178</f>
        <v>414.15</v>
      </c>
      <c r="I178" s="19" t="n">
        <f aca="false">sub_fee</f>
        <v>275</v>
      </c>
      <c r="J178" s="19" t="n">
        <f aca="false">MAX(0, E178-sub_lbs)*sub_overage</f>
        <v>0</v>
      </c>
      <c r="K178" s="19" t="n">
        <f aca="false">I178+J178</f>
        <v>275</v>
      </c>
      <c r="L178" s="20" t="str">
        <f aca="false">IF(K178&lt;H178,"Yes — saves $"&amp;TEXT(H178-K178,"0"),"No")</f>
        <v>Yes — saves $139</v>
      </c>
    </row>
    <row r="179" customFormat="false" ht="15" hidden="false" customHeight="false" outlineLevel="0" collapsed="false">
      <c r="A179" s="7" t="n">
        <v>175</v>
      </c>
      <c r="B179" s="7" t="s">
        <v>263</v>
      </c>
      <c r="C179" s="17" t="n">
        <v>2</v>
      </c>
      <c r="D179" s="17" t="n">
        <v>3</v>
      </c>
      <c r="E179" s="18" t="n">
        <v>96</v>
      </c>
      <c r="F179" s="19" t="n">
        <v>259.9</v>
      </c>
      <c r="G179" s="19" t="n">
        <f aca="false">D179*(new_rate-cur_rate)</f>
        <v>18</v>
      </c>
      <c r="H179" s="19" t="n">
        <f aca="false">F179+G179</f>
        <v>277.9</v>
      </c>
      <c r="I179" s="19" t="n">
        <f aca="false">sub_fee</f>
        <v>275</v>
      </c>
      <c r="J179" s="19" t="n">
        <f aca="false">MAX(0, E179-sub_lbs)*sub_overage</f>
        <v>0</v>
      </c>
      <c r="K179" s="19" t="n">
        <f aca="false">I179+J179</f>
        <v>275</v>
      </c>
      <c r="L179" s="20" t="str">
        <f aca="false">IF(K179&lt;H179,"Yes — saves $"&amp;TEXT(H179-K179,"0"),"No")</f>
        <v>Yes — saves $3</v>
      </c>
    </row>
    <row r="180" customFormat="false" ht="15" hidden="false" customHeight="false" outlineLevel="0" collapsed="false">
      <c r="A180" s="7" t="n">
        <v>176</v>
      </c>
      <c r="B180" s="7" t="s">
        <v>264</v>
      </c>
      <c r="C180" s="17" t="n">
        <v>3</v>
      </c>
      <c r="D180" s="17" t="n">
        <v>3</v>
      </c>
      <c r="E180" s="18" t="n">
        <v>96</v>
      </c>
      <c r="F180" s="19" t="n">
        <v>249.85</v>
      </c>
      <c r="G180" s="19" t="n">
        <f aca="false">D180*(new_rate-cur_rate)</f>
        <v>18</v>
      </c>
      <c r="H180" s="19" t="n">
        <f aca="false">F180+G180</f>
        <v>267.85</v>
      </c>
      <c r="I180" s="19" t="n">
        <f aca="false">sub_fee</f>
        <v>275</v>
      </c>
      <c r="J180" s="19" t="n">
        <f aca="false">MAX(0, E180-sub_lbs)*sub_overage</f>
        <v>0</v>
      </c>
      <c r="K180" s="19" t="n">
        <f aca="false">I180+J180</f>
        <v>275</v>
      </c>
      <c r="L180" s="20" t="str">
        <f aca="false">IF(K180&lt;H180,"Yes — saves $"&amp;TEXT(H180-K180,"0"),"No")</f>
        <v>No</v>
      </c>
    </row>
    <row r="181" customFormat="false" ht="15" hidden="false" customHeight="false" outlineLevel="0" collapsed="false">
      <c r="A181" s="7" t="n">
        <v>177</v>
      </c>
      <c r="B181" s="7" t="s">
        <v>265</v>
      </c>
      <c r="C181" s="17" t="n">
        <v>4</v>
      </c>
      <c r="D181" s="17" t="n">
        <v>4</v>
      </c>
      <c r="E181" s="18" t="n">
        <v>96</v>
      </c>
      <c r="F181" s="19" t="n">
        <v>284.8</v>
      </c>
      <c r="G181" s="19" t="n">
        <f aca="false">D181*(new_rate-cur_rate)</f>
        <v>24</v>
      </c>
      <c r="H181" s="19" t="n">
        <f aca="false">F181+G181</f>
        <v>308.8</v>
      </c>
      <c r="I181" s="19" t="n">
        <f aca="false">sub_fee</f>
        <v>275</v>
      </c>
      <c r="J181" s="19" t="n">
        <f aca="false">MAX(0, E181-sub_lbs)*sub_overage</f>
        <v>0</v>
      </c>
      <c r="K181" s="19" t="n">
        <f aca="false">I181+J181</f>
        <v>275</v>
      </c>
      <c r="L181" s="20" t="str">
        <f aca="false">IF(K181&lt;H181,"Yes — saves $"&amp;TEXT(H181-K181,"0"),"No")</f>
        <v>Yes — saves $34</v>
      </c>
    </row>
    <row r="182" customFormat="false" ht="15" hidden="false" customHeight="false" outlineLevel="0" collapsed="false">
      <c r="A182" s="7" t="n">
        <v>178</v>
      </c>
      <c r="B182" s="7" t="s">
        <v>266</v>
      </c>
      <c r="C182" s="17" t="n">
        <v>4</v>
      </c>
      <c r="D182" s="17" t="n">
        <v>4</v>
      </c>
      <c r="E182" s="18" t="n">
        <v>95</v>
      </c>
      <c r="F182" s="19" t="n">
        <v>287.8</v>
      </c>
      <c r="G182" s="19" t="n">
        <f aca="false">D182*(new_rate-cur_rate)</f>
        <v>24</v>
      </c>
      <c r="H182" s="19" t="n">
        <f aca="false">F182+G182</f>
        <v>311.8</v>
      </c>
      <c r="I182" s="19" t="n">
        <f aca="false">sub_fee</f>
        <v>275</v>
      </c>
      <c r="J182" s="19" t="n">
        <f aca="false">MAX(0, E182-sub_lbs)*sub_overage</f>
        <v>0</v>
      </c>
      <c r="K182" s="19" t="n">
        <f aca="false">I182+J182</f>
        <v>275</v>
      </c>
      <c r="L182" s="20" t="str">
        <f aca="false">IF(K182&lt;H182,"Yes — saves $"&amp;TEXT(H182-K182,"0"),"No")</f>
        <v>Yes — saves $37</v>
      </c>
    </row>
    <row r="183" customFormat="false" ht="15" hidden="false" customHeight="false" outlineLevel="0" collapsed="false">
      <c r="A183" s="7" t="n">
        <v>179</v>
      </c>
      <c r="B183" s="7" t="s">
        <v>267</v>
      </c>
      <c r="C183" s="17" t="n">
        <v>1</v>
      </c>
      <c r="D183" s="17" t="n">
        <v>3</v>
      </c>
      <c r="E183" s="18" t="n">
        <v>95</v>
      </c>
      <c r="F183" s="19" t="n">
        <v>295.95</v>
      </c>
      <c r="G183" s="19" t="n">
        <f aca="false">D183*(new_rate-cur_rate)</f>
        <v>18</v>
      </c>
      <c r="H183" s="19" t="n">
        <f aca="false">F183+G183</f>
        <v>313.95</v>
      </c>
      <c r="I183" s="19" t="n">
        <f aca="false">sub_fee</f>
        <v>275</v>
      </c>
      <c r="J183" s="19" t="n">
        <f aca="false">MAX(0, E183-sub_lbs)*sub_overage</f>
        <v>0</v>
      </c>
      <c r="K183" s="19" t="n">
        <f aca="false">I183+J183</f>
        <v>275</v>
      </c>
      <c r="L183" s="20" t="str">
        <f aca="false">IF(K183&lt;H183,"Yes — saves $"&amp;TEXT(H183-K183,"0"),"No")</f>
        <v>Yes — saves $39</v>
      </c>
    </row>
    <row r="184" customFormat="false" ht="15" hidden="false" customHeight="false" outlineLevel="0" collapsed="false">
      <c r="A184" s="7" t="n">
        <v>180</v>
      </c>
      <c r="B184" s="7" t="s">
        <v>268</v>
      </c>
      <c r="C184" s="17" t="n">
        <v>1</v>
      </c>
      <c r="D184" s="17" t="n">
        <v>4</v>
      </c>
      <c r="E184" s="18" t="n">
        <v>94</v>
      </c>
      <c r="F184" s="19" t="n">
        <v>257.95</v>
      </c>
      <c r="G184" s="19" t="n">
        <f aca="false">D184*(new_rate-cur_rate)</f>
        <v>24</v>
      </c>
      <c r="H184" s="19" t="n">
        <f aca="false">F184+G184</f>
        <v>281.95</v>
      </c>
      <c r="I184" s="19" t="n">
        <f aca="false">sub_fee</f>
        <v>275</v>
      </c>
      <c r="J184" s="19" t="n">
        <f aca="false">MAX(0, E184-sub_lbs)*sub_overage</f>
        <v>0</v>
      </c>
      <c r="K184" s="19" t="n">
        <f aca="false">I184+J184</f>
        <v>275</v>
      </c>
      <c r="L184" s="20" t="str">
        <f aca="false">IF(K184&lt;H184,"Yes — saves $"&amp;TEXT(H184-K184,"0"),"No")</f>
        <v>Yes — saves $7</v>
      </c>
    </row>
    <row r="185" customFormat="false" ht="15" hidden="false" customHeight="false" outlineLevel="0" collapsed="false">
      <c r="A185" s="7" t="n">
        <v>181</v>
      </c>
      <c r="B185" s="7" t="s">
        <v>269</v>
      </c>
      <c r="C185" s="17" t="n">
        <v>3</v>
      </c>
      <c r="D185" s="17" t="n">
        <v>3</v>
      </c>
      <c r="E185" s="18" t="n">
        <v>94</v>
      </c>
      <c r="F185" s="19" t="n">
        <v>272.85</v>
      </c>
      <c r="G185" s="19" t="n">
        <f aca="false">D185*(new_rate-cur_rate)</f>
        <v>18</v>
      </c>
      <c r="H185" s="19" t="n">
        <f aca="false">F185+G185</f>
        <v>290.85</v>
      </c>
      <c r="I185" s="19" t="n">
        <f aca="false">sub_fee</f>
        <v>275</v>
      </c>
      <c r="J185" s="19" t="n">
        <f aca="false">MAX(0, E185-sub_lbs)*sub_overage</f>
        <v>0</v>
      </c>
      <c r="K185" s="19" t="n">
        <f aca="false">I185+J185</f>
        <v>275</v>
      </c>
      <c r="L185" s="20" t="str">
        <f aca="false">IF(K185&lt;H185,"Yes — saves $"&amp;TEXT(H185-K185,"0"),"No")</f>
        <v>Yes — saves $16</v>
      </c>
    </row>
    <row r="186" customFormat="false" ht="15" hidden="false" customHeight="false" outlineLevel="0" collapsed="false">
      <c r="A186" s="7" t="n">
        <v>182</v>
      </c>
      <c r="B186" s="7" t="s">
        <v>270</v>
      </c>
      <c r="C186" s="17" t="n">
        <v>2</v>
      </c>
      <c r="D186" s="17" t="n">
        <v>4</v>
      </c>
      <c r="E186" s="18" t="n">
        <v>94</v>
      </c>
      <c r="F186" s="19" t="n">
        <v>267.9</v>
      </c>
      <c r="G186" s="19" t="n">
        <f aca="false">D186*(new_rate-cur_rate)</f>
        <v>24</v>
      </c>
      <c r="H186" s="19" t="n">
        <f aca="false">F186+G186</f>
        <v>291.9</v>
      </c>
      <c r="I186" s="19" t="n">
        <f aca="false">sub_fee</f>
        <v>275</v>
      </c>
      <c r="J186" s="19" t="n">
        <f aca="false">MAX(0, E186-sub_lbs)*sub_overage</f>
        <v>0</v>
      </c>
      <c r="K186" s="19" t="n">
        <f aca="false">I186+J186</f>
        <v>275</v>
      </c>
      <c r="L186" s="20" t="str">
        <f aca="false">IF(K186&lt;H186,"Yes — saves $"&amp;TEXT(H186-K186,"0"),"No")</f>
        <v>Yes — saves $17</v>
      </c>
    </row>
    <row r="187" customFormat="false" ht="15" hidden="false" customHeight="false" outlineLevel="0" collapsed="false">
      <c r="A187" s="7" t="n">
        <v>183</v>
      </c>
      <c r="B187" s="7" t="s">
        <v>271</v>
      </c>
      <c r="C187" s="17" t="n">
        <v>1</v>
      </c>
      <c r="D187" s="17" t="n">
        <v>3</v>
      </c>
      <c r="E187" s="18" t="n">
        <v>93</v>
      </c>
      <c r="F187" s="19" t="n">
        <v>268.95</v>
      </c>
      <c r="G187" s="19" t="n">
        <f aca="false">D187*(new_rate-cur_rate)</f>
        <v>18</v>
      </c>
      <c r="H187" s="19" t="n">
        <f aca="false">F187+G187</f>
        <v>286.95</v>
      </c>
      <c r="I187" s="19" t="n">
        <f aca="false">sub_fee</f>
        <v>275</v>
      </c>
      <c r="J187" s="19" t="n">
        <f aca="false">MAX(0, E187-sub_lbs)*sub_overage</f>
        <v>0</v>
      </c>
      <c r="K187" s="19" t="n">
        <f aca="false">I187+J187</f>
        <v>275</v>
      </c>
      <c r="L187" s="20" t="str">
        <f aca="false">IF(K187&lt;H187,"Yes — saves $"&amp;TEXT(H187-K187,"0"),"No")</f>
        <v>Yes — saves $12</v>
      </c>
    </row>
    <row r="188" customFormat="false" ht="15" hidden="false" customHeight="false" outlineLevel="0" collapsed="false">
      <c r="A188" s="7" t="n">
        <v>184</v>
      </c>
      <c r="B188" s="7" t="s">
        <v>272</v>
      </c>
      <c r="C188" s="17" t="n">
        <v>2</v>
      </c>
      <c r="D188" s="17" t="n">
        <v>4</v>
      </c>
      <c r="E188" s="18" t="n">
        <v>92</v>
      </c>
      <c r="F188" s="19" t="n">
        <v>247.9</v>
      </c>
      <c r="G188" s="19" t="n">
        <f aca="false">D188*(new_rate-cur_rate)</f>
        <v>24</v>
      </c>
      <c r="H188" s="19" t="n">
        <f aca="false">F188+G188</f>
        <v>271.9</v>
      </c>
      <c r="I188" s="19" t="n">
        <f aca="false">sub_fee</f>
        <v>275</v>
      </c>
      <c r="J188" s="19" t="n">
        <f aca="false">MAX(0, E188-sub_lbs)*sub_overage</f>
        <v>0</v>
      </c>
      <c r="K188" s="19" t="n">
        <f aca="false">I188+J188</f>
        <v>275</v>
      </c>
      <c r="L188" s="20" t="str">
        <f aca="false">IF(K188&lt;H188,"Yes — saves $"&amp;TEXT(H188-K188,"0"),"No")</f>
        <v>No</v>
      </c>
    </row>
    <row r="189" customFormat="false" ht="15" hidden="false" customHeight="false" outlineLevel="0" collapsed="false">
      <c r="A189" s="7" t="n">
        <v>185</v>
      </c>
      <c r="B189" s="7" t="s">
        <v>273</v>
      </c>
      <c r="C189" s="17" t="n">
        <v>4</v>
      </c>
      <c r="D189" s="17" t="n">
        <v>4</v>
      </c>
      <c r="E189" s="18" t="n">
        <v>92</v>
      </c>
      <c r="F189" s="19" t="n">
        <v>281.8</v>
      </c>
      <c r="G189" s="19" t="n">
        <f aca="false">D189*(new_rate-cur_rate)</f>
        <v>24</v>
      </c>
      <c r="H189" s="19" t="n">
        <f aca="false">F189+G189</f>
        <v>305.8</v>
      </c>
      <c r="I189" s="19" t="n">
        <f aca="false">sub_fee</f>
        <v>275</v>
      </c>
      <c r="J189" s="19" t="n">
        <f aca="false">MAX(0, E189-sub_lbs)*sub_overage</f>
        <v>0</v>
      </c>
      <c r="K189" s="19" t="n">
        <f aca="false">I189+J189</f>
        <v>275</v>
      </c>
      <c r="L189" s="20" t="str">
        <f aca="false">IF(K189&lt;H189,"Yes — saves $"&amp;TEXT(H189-K189,"0"),"No")</f>
        <v>Yes — saves $31</v>
      </c>
    </row>
    <row r="190" customFormat="false" ht="15" hidden="false" customHeight="false" outlineLevel="0" collapsed="false">
      <c r="A190" s="7" t="n">
        <v>186</v>
      </c>
      <c r="B190" s="7" t="s">
        <v>274</v>
      </c>
      <c r="C190" s="17" t="n">
        <v>2</v>
      </c>
      <c r="D190" s="17" t="n">
        <v>3</v>
      </c>
      <c r="E190" s="18" t="n">
        <v>91</v>
      </c>
      <c r="F190" s="19" t="n">
        <v>244.9</v>
      </c>
      <c r="G190" s="19" t="n">
        <f aca="false">D190*(new_rate-cur_rate)</f>
        <v>18</v>
      </c>
      <c r="H190" s="19" t="n">
        <f aca="false">F190+G190</f>
        <v>262.9</v>
      </c>
      <c r="I190" s="19" t="n">
        <f aca="false">sub_fee</f>
        <v>275</v>
      </c>
      <c r="J190" s="19" t="n">
        <f aca="false">MAX(0, E190-sub_lbs)*sub_overage</f>
        <v>0</v>
      </c>
      <c r="K190" s="19" t="n">
        <f aca="false">I190+J190</f>
        <v>275</v>
      </c>
      <c r="L190" s="20" t="str">
        <f aca="false">IF(K190&lt;H190,"Yes — saves $"&amp;TEXT(H190-K190,"0"),"No")</f>
        <v>No</v>
      </c>
    </row>
    <row r="191" customFormat="false" ht="15" hidden="false" customHeight="false" outlineLevel="0" collapsed="false">
      <c r="A191" s="7" t="n">
        <v>187</v>
      </c>
      <c r="B191" s="7" t="s">
        <v>275</v>
      </c>
      <c r="C191" s="17" t="n">
        <v>5</v>
      </c>
      <c r="D191" s="17" t="n">
        <v>8</v>
      </c>
      <c r="E191" s="18" t="n">
        <v>91</v>
      </c>
      <c r="F191" s="19" t="n">
        <v>560.75</v>
      </c>
      <c r="G191" s="19" t="n">
        <f aca="false">D191*(new_rate-cur_rate)</f>
        <v>48</v>
      </c>
      <c r="H191" s="19" t="n">
        <f aca="false">F191+G191</f>
        <v>608.75</v>
      </c>
      <c r="I191" s="19" t="n">
        <f aca="false">sub_fee</f>
        <v>275</v>
      </c>
      <c r="J191" s="19" t="n">
        <f aca="false">MAX(0, E191-sub_lbs)*sub_overage</f>
        <v>0</v>
      </c>
      <c r="K191" s="19" t="n">
        <f aca="false">I191+J191</f>
        <v>275</v>
      </c>
      <c r="L191" s="20" t="str">
        <f aca="false">IF(K191&lt;H191,"Yes — saves $"&amp;TEXT(H191-K191,"0"),"No")</f>
        <v>Yes — saves $334</v>
      </c>
    </row>
    <row r="192" customFormat="false" ht="15" hidden="false" customHeight="false" outlineLevel="0" collapsed="false">
      <c r="A192" s="7" t="n">
        <v>188</v>
      </c>
      <c r="B192" s="7" t="s">
        <v>276</v>
      </c>
      <c r="C192" s="17" t="n">
        <v>1</v>
      </c>
      <c r="D192" s="17" t="n">
        <v>4</v>
      </c>
      <c r="E192" s="18" t="n">
        <v>91</v>
      </c>
      <c r="F192" s="19" t="n">
        <v>234.15</v>
      </c>
      <c r="G192" s="19" t="n">
        <f aca="false">D192*(new_rate-cur_rate)</f>
        <v>24</v>
      </c>
      <c r="H192" s="19" t="n">
        <f aca="false">F192+G192</f>
        <v>258.15</v>
      </c>
      <c r="I192" s="19" t="n">
        <f aca="false">sub_fee</f>
        <v>275</v>
      </c>
      <c r="J192" s="19" t="n">
        <f aca="false">MAX(0, E192-sub_lbs)*sub_overage</f>
        <v>0</v>
      </c>
      <c r="K192" s="19" t="n">
        <f aca="false">I192+J192</f>
        <v>275</v>
      </c>
      <c r="L192" s="20" t="str">
        <f aca="false">IF(K192&lt;H192,"Yes — saves $"&amp;TEXT(H192-K192,"0"),"No")</f>
        <v>No</v>
      </c>
    </row>
    <row r="193" customFormat="false" ht="15" hidden="false" customHeight="false" outlineLevel="0" collapsed="false">
      <c r="A193" s="7" t="n">
        <v>189</v>
      </c>
      <c r="B193" s="7" t="s">
        <v>277</v>
      </c>
      <c r="C193" s="17" t="n">
        <v>4</v>
      </c>
      <c r="D193" s="17" t="n">
        <v>8</v>
      </c>
      <c r="E193" s="18" t="n">
        <v>90</v>
      </c>
      <c r="F193" s="19" t="n">
        <v>551.8</v>
      </c>
      <c r="G193" s="19" t="n">
        <f aca="false">D193*(new_rate-cur_rate)</f>
        <v>48</v>
      </c>
      <c r="H193" s="19" t="n">
        <f aca="false">F193+G193</f>
        <v>599.8</v>
      </c>
      <c r="I193" s="19" t="n">
        <f aca="false">sub_fee</f>
        <v>275</v>
      </c>
      <c r="J193" s="19" t="n">
        <f aca="false">MAX(0, E193-sub_lbs)*sub_overage</f>
        <v>0</v>
      </c>
      <c r="K193" s="19" t="n">
        <f aca="false">I193+J193</f>
        <v>275</v>
      </c>
      <c r="L193" s="20" t="str">
        <f aca="false">IF(K193&lt;H193,"Yes — saves $"&amp;TEXT(H193-K193,"0"),"No")</f>
        <v>Yes — saves $325</v>
      </c>
    </row>
    <row r="194" customFormat="false" ht="15" hidden="false" customHeight="false" outlineLevel="0" collapsed="false">
      <c r="A194" s="7" t="n">
        <v>190</v>
      </c>
      <c r="B194" s="7" t="s">
        <v>278</v>
      </c>
      <c r="C194" s="17" t="n">
        <v>3</v>
      </c>
      <c r="D194" s="17" t="n">
        <v>3</v>
      </c>
      <c r="E194" s="18" t="n">
        <v>90</v>
      </c>
      <c r="F194" s="19" t="n">
        <v>240.85</v>
      </c>
      <c r="G194" s="19" t="n">
        <f aca="false">D194*(new_rate-cur_rate)</f>
        <v>18</v>
      </c>
      <c r="H194" s="19" t="n">
        <f aca="false">F194+G194</f>
        <v>258.85</v>
      </c>
      <c r="I194" s="19" t="n">
        <f aca="false">sub_fee</f>
        <v>275</v>
      </c>
      <c r="J194" s="19" t="n">
        <f aca="false">MAX(0, E194-sub_lbs)*sub_overage</f>
        <v>0</v>
      </c>
      <c r="K194" s="19" t="n">
        <f aca="false">I194+J194</f>
        <v>275</v>
      </c>
      <c r="L194" s="20" t="str">
        <f aca="false">IF(K194&lt;H194,"Yes — saves $"&amp;TEXT(H194-K194,"0"),"No")</f>
        <v>No</v>
      </c>
    </row>
    <row r="195" customFormat="false" ht="15" hidden="false" customHeight="false" outlineLevel="0" collapsed="false">
      <c r="A195" s="7" t="n">
        <v>191</v>
      </c>
      <c r="B195" s="7" t="s">
        <v>279</v>
      </c>
      <c r="C195" s="17" t="n">
        <v>2</v>
      </c>
      <c r="D195" s="17" t="n">
        <v>4</v>
      </c>
      <c r="E195" s="18" t="n">
        <v>90</v>
      </c>
      <c r="F195" s="19" t="n">
        <v>255.9</v>
      </c>
      <c r="G195" s="19" t="n">
        <f aca="false">D195*(new_rate-cur_rate)</f>
        <v>24</v>
      </c>
      <c r="H195" s="19" t="n">
        <f aca="false">F195+G195</f>
        <v>279.9</v>
      </c>
      <c r="I195" s="19" t="n">
        <f aca="false">sub_fee</f>
        <v>275</v>
      </c>
      <c r="J195" s="19" t="n">
        <f aca="false">MAX(0, E195-sub_lbs)*sub_overage</f>
        <v>0</v>
      </c>
      <c r="K195" s="19" t="n">
        <f aca="false">I195+J195</f>
        <v>275</v>
      </c>
      <c r="L195" s="20" t="str">
        <f aca="false">IF(K195&lt;H195,"Yes — saves $"&amp;TEXT(H195-K195,"0"),"No")</f>
        <v>Yes — saves $5</v>
      </c>
    </row>
    <row r="196" customFormat="false" ht="15" hidden="false" customHeight="false" outlineLevel="0" collapsed="false">
      <c r="A196" s="7" t="n">
        <v>192</v>
      </c>
      <c r="B196" s="7" t="s">
        <v>280</v>
      </c>
      <c r="C196" s="17" t="n">
        <v>4</v>
      </c>
      <c r="D196" s="17" t="n">
        <v>8</v>
      </c>
      <c r="E196" s="18" t="n">
        <v>90</v>
      </c>
      <c r="F196" s="19" t="n">
        <v>559.8</v>
      </c>
      <c r="G196" s="19" t="n">
        <f aca="false">D196*(new_rate-cur_rate)</f>
        <v>48</v>
      </c>
      <c r="H196" s="19" t="n">
        <f aca="false">F196+G196</f>
        <v>607.8</v>
      </c>
      <c r="I196" s="19" t="n">
        <f aca="false">sub_fee</f>
        <v>275</v>
      </c>
      <c r="J196" s="19" t="n">
        <f aca="false">MAX(0, E196-sub_lbs)*sub_overage</f>
        <v>0</v>
      </c>
      <c r="K196" s="19" t="n">
        <f aca="false">I196+J196</f>
        <v>275</v>
      </c>
      <c r="L196" s="20" t="str">
        <f aca="false">IF(K196&lt;H196,"Yes — saves $"&amp;TEXT(H196-K196,"0"),"No")</f>
        <v>Yes — saves $333</v>
      </c>
    </row>
    <row r="197" customFormat="false" ht="15" hidden="false" customHeight="false" outlineLevel="0" collapsed="false">
      <c r="A197" s="7" t="n">
        <v>193</v>
      </c>
      <c r="B197" s="7" t="s">
        <v>281</v>
      </c>
      <c r="C197" s="17" t="n">
        <v>4</v>
      </c>
      <c r="D197" s="17" t="n">
        <v>12</v>
      </c>
      <c r="E197" s="18" t="n">
        <v>89</v>
      </c>
      <c r="F197" s="19" t="n">
        <v>534.3</v>
      </c>
      <c r="G197" s="19" t="n">
        <f aca="false">D197*(new_rate-cur_rate)</f>
        <v>72</v>
      </c>
      <c r="H197" s="19" t="n">
        <f aca="false">F197+G197</f>
        <v>606.3</v>
      </c>
      <c r="I197" s="19" t="n">
        <f aca="false">sub_fee</f>
        <v>275</v>
      </c>
      <c r="J197" s="19" t="n">
        <f aca="false">MAX(0, E197-sub_lbs)*sub_overage</f>
        <v>0</v>
      </c>
      <c r="K197" s="19" t="n">
        <f aca="false">I197+J197</f>
        <v>275</v>
      </c>
      <c r="L197" s="20" t="str">
        <f aca="false">IF(K197&lt;H197,"Yes — saves $"&amp;TEXT(H197-K197,"0"),"No")</f>
        <v>Yes — saves $331</v>
      </c>
    </row>
    <row r="198" customFormat="false" ht="15" hidden="false" customHeight="false" outlineLevel="0" collapsed="false">
      <c r="A198" s="7" t="n">
        <v>194</v>
      </c>
      <c r="B198" s="7" t="s">
        <v>282</v>
      </c>
      <c r="C198" s="17" t="n">
        <v>1</v>
      </c>
      <c r="D198" s="17" t="n">
        <v>3</v>
      </c>
      <c r="E198" s="18" t="n">
        <v>89</v>
      </c>
      <c r="F198" s="19" t="n">
        <v>228.95</v>
      </c>
      <c r="G198" s="19" t="n">
        <f aca="false">D198*(new_rate-cur_rate)</f>
        <v>18</v>
      </c>
      <c r="H198" s="19" t="n">
        <f aca="false">F198+G198</f>
        <v>246.95</v>
      </c>
      <c r="I198" s="19" t="n">
        <f aca="false">sub_fee</f>
        <v>275</v>
      </c>
      <c r="J198" s="19" t="n">
        <f aca="false">MAX(0, E198-sub_lbs)*sub_overage</f>
        <v>0</v>
      </c>
      <c r="K198" s="19" t="n">
        <f aca="false">I198+J198</f>
        <v>275</v>
      </c>
      <c r="L198" s="20" t="str">
        <f aca="false">IF(K198&lt;H198,"Yes — saves $"&amp;TEXT(H198-K198,"0"),"No")</f>
        <v>No</v>
      </c>
    </row>
    <row r="199" customFormat="false" ht="15" hidden="false" customHeight="false" outlineLevel="0" collapsed="false">
      <c r="A199" s="7" t="n">
        <v>195</v>
      </c>
      <c r="B199" s="7" t="s">
        <v>283</v>
      </c>
      <c r="C199" s="17" t="n">
        <v>4</v>
      </c>
      <c r="D199" s="17" t="n">
        <v>4</v>
      </c>
      <c r="E199" s="18" t="n">
        <v>89</v>
      </c>
      <c r="F199" s="19" t="n">
        <v>278.8</v>
      </c>
      <c r="G199" s="19" t="n">
        <f aca="false">D199*(new_rate-cur_rate)</f>
        <v>24</v>
      </c>
      <c r="H199" s="19" t="n">
        <f aca="false">F199+G199</f>
        <v>302.8</v>
      </c>
      <c r="I199" s="19" t="n">
        <f aca="false">sub_fee</f>
        <v>275</v>
      </c>
      <c r="J199" s="19" t="n">
        <f aca="false">MAX(0, E199-sub_lbs)*sub_overage</f>
        <v>0</v>
      </c>
      <c r="K199" s="19" t="n">
        <f aca="false">I199+J199</f>
        <v>275</v>
      </c>
      <c r="L199" s="20" t="str">
        <f aca="false">IF(K199&lt;H199,"Yes — saves $"&amp;TEXT(H199-K199,"0"),"No")</f>
        <v>Yes — saves $28</v>
      </c>
    </row>
    <row r="200" customFormat="false" ht="15" hidden="false" customHeight="false" outlineLevel="0" collapsed="false">
      <c r="A200" s="7" t="n">
        <v>196</v>
      </c>
      <c r="B200" s="7" t="s">
        <v>284</v>
      </c>
      <c r="C200" s="17" t="n">
        <v>2</v>
      </c>
      <c r="D200" s="17" t="n">
        <v>4</v>
      </c>
      <c r="E200" s="18" t="n">
        <v>88</v>
      </c>
      <c r="F200" s="19" t="n">
        <v>235.9</v>
      </c>
      <c r="G200" s="19" t="n">
        <f aca="false">D200*(new_rate-cur_rate)</f>
        <v>24</v>
      </c>
      <c r="H200" s="19" t="n">
        <f aca="false">F200+G200</f>
        <v>259.9</v>
      </c>
      <c r="I200" s="19" t="n">
        <f aca="false">sub_fee</f>
        <v>275</v>
      </c>
      <c r="J200" s="19" t="n">
        <f aca="false">MAX(0, E200-sub_lbs)*sub_overage</f>
        <v>0</v>
      </c>
      <c r="K200" s="19" t="n">
        <f aca="false">I200+J200</f>
        <v>275</v>
      </c>
      <c r="L200" s="20" t="str">
        <f aca="false">IF(K200&lt;H200,"Yes — saves $"&amp;TEXT(H200-K200,"0"),"No")</f>
        <v>No</v>
      </c>
    </row>
    <row r="201" customFormat="false" ht="15" hidden="false" customHeight="false" outlineLevel="0" collapsed="false">
      <c r="A201" s="7" t="n">
        <v>197</v>
      </c>
      <c r="B201" s="7" t="s">
        <v>285</v>
      </c>
      <c r="C201" s="17" t="n">
        <v>2</v>
      </c>
      <c r="D201" s="17" t="n">
        <v>4</v>
      </c>
      <c r="E201" s="18" t="n">
        <v>88</v>
      </c>
      <c r="F201" s="19" t="n">
        <v>255.9</v>
      </c>
      <c r="G201" s="19" t="n">
        <f aca="false">D201*(new_rate-cur_rate)</f>
        <v>24</v>
      </c>
      <c r="H201" s="19" t="n">
        <f aca="false">F201+G201</f>
        <v>279.9</v>
      </c>
      <c r="I201" s="19" t="n">
        <f aca="false">sub_fee</f>
        <v>275</v>
      </c>
      <c r="J201" s="19" t="n">
        <f aca="false">MAX(0, E201-sub_lbs)*sub_overage</f>
        <v>0</v>
      </c>
      <c r="K201" s="19" t="n">
        <f aca="false">I201+J201</f>
        <v>275</v>
      </c>
      <c r="L201" s="20" t="str">
        <f aca="false">IF(K201&lt;H201,"Yes — saves $"&amp;TEXT(H201-K201,"0"),"No")</f>
        <v>Yes — saves $5</v>
      </c>
    </row>
    <row r="202" customFormat="false" ht="15" hidden="false" customHeight="false" outlineLevel="0" collapsed="false">
      <c r="A202" s="7" t="n">
        <v>198</v>
      </c>
      <c r="B202" s="7" t="s">
        <v>286</v>
      </c>
      <c r="C202" s="17" t="n">
        <v>5</v>
      </c>
      <c r="D202" s="17" t="n">
        <v>5</v>
      </c>
      <c r="E202" s="18" t="n">
        <v>88</v>
      </c>
      <c r="F202" s="19" t="n">
        <v>357.75</v>
      </c>
      <c r="G202" s="19" t="n">
        <f aca="false">D202*(new_rate-cur_rate)</f>
        <v>30</v>
      </c>
      <c r="H202" s="19" t="n">
        <f aca="false">F202+G202</f>
        <v>387.75</v>
      </c>
      <c r="I202" s="19" t="n">
        <f aca="false">sub_fee</f>
        <v>275</v>
      </c>
      <c r="J202" s="19" t="n">
        <f aca="false">MAX(0, E202-sub_lbs)*sub_overage</f>
        <v>0</v>
      </c>
      <c r="K202" s="19" t="n">
        <f aca="false">I202+J202</f>
        <v>275</v>
      </c>
      <c r="L202" s="20" t="str">
        <f aca="false">IF(K202&lt;H202,"Yes — saves $"&amp;TEXT(H202-K202,"0"),"No")</f>
        <v>Yes — saves $113</v>
      </c>
    </row>
    <row r="203" customFormat="false" ht="15" hidden="false" customHeight="false" outlineLevel="0" collapsed="false">
      <c r="A203" s="7" t="n">
        <v>199</v>
      </c>
      <c r="B203" s="7" t="s">
        <v>287</v>
      </c>
      <c r="C203" s="17" t="n">
        <v>2</v>
      </c>
      <c r="D203" s="17" t="n">
        <v>4</v>
      </c>
      <c r="E203" s="18" t="n">
        <v>88</v>
      </c>
      <c r="F203" s="19" t="n">
        <v>265.9</v>
      </c>
      <c r="G203" s="19" t="n">
        <f aca="false">D203*(new_rate-cur_rate)</f>
        <v>24</v>
      </c>
      <c r="H203" s="19" t="n">
        <f aca="false">F203+G203</f>
        <v>289.9</v>
      </c>
      <c r="I203" s="19" t="n">
        <f aca="false">sub_fee</f>
        <v>275</v>
      </c>
      <c r="J203" s="19" t="n">
        <f aca="false">MAX(0, E203-sub_lbs)*sub_overage</f>
        <v>0</v>
      </c>
      <c r="K203" s="19" t="n">
        <f aca="false">I203+J203</f>
        <v>275</v>
      </c>
      <c r="L203" s="20" t="str">
        <f aca="false">IF(K203&lt;H203,"Yes — saves $"&amp;TEXT(H203-K203,"0"),"No")</f>
        <v>Yes — saves $15</v>
      </c>
    </row>
    <row r="204" customFormat="false" ht="15" hidden="false" customHeight="false" outlineLevel="0" collapsed="false">
      <c r="A204" s="7" t="n">
        <v>200</v>
      </c>
      <c r="B204" s="7" t="s">
        <v>288</v>
      </c>
      <c r="C204" s="17" t="n">
        <v>3</v>
      </c>
      <c r="D204" s="17" t="n">
        <v>7</v>
      </c>
      <c r="E204" s="18" t="n">
        <v>87</v>
      </c>
      <c r="F204" s="19" t="n">
        <v>493.85</v>
      </c>
      <c r="G204" s="19" t="n">
        <f aca="false">D204*(new_rate-cur_rate)</f>
        <v>42</v>
      </c>
      <c r="H204" s="19" t="n">
        <f aca="false">F204+G204</f>
        <v>535.85</v>
      </c>
      <c r="I204" s="19" t="n">
        <f aca="false">sub_fee</f>
        <v>275</v>
      </c>
      <c r="J204" s="19" t="n">
        <f aca="false">MAX(0, E204-sub_lbs)*sub_overage</f>
        <v>0</v>
      </c>
      <c r="K204" s="19" t="n">
        <f aca="false">I204+J204</f>
        <v>275</v>
      </c>
      <c r="L204" s="20" t="str">
        <f aca="false">IF(K204&lt;H204,"Yes — saves $"&amp;TEXT(H204-K204,"0"),"No")</f>
        <v>Yes — saves $261</v>
      </c>
    </row>
    <row r="205" customFormat="false" ht="15" hidden="false" customHeight="false" outlineLevel="0" collapsed="false">
      <c r="B205" s="21" t="s">
        <v>289</v>
      </c>
      <c r="C205" s="22" t="n">
        <f aca="false">SUM(C5:C204)</f>
        <v>758</v>
      </c>
      <c r="D205" s="22" t="n">
        <f aca="false">SUM(D5:D204)</f>
        <v>1313</v>
      </c>
      <c r="E205" s="23" t="n">
        <f aca="false">SUM(E5:E204)</f>
        <v>28623</v>
      </c>
      <c r="F205" s="24" t="n">
        <f aca="false">SUM(F5:F204)</f>
        <v>89055</v>
      </c>
      <c r="G205" s="24" t="n">
        <f aca="false">SUM(G5:G204)</f>
        <v>7878</v>
      </c>
      <c r="H205" s="24" t="n">
        <f aca="false">SUM(H5:H204)</f>
        <v>96933</v>
      </c>
      <c r="I205" s="24" t="n">
        <f aca="false">SUM(I5:I204)</f>
        <v>55000</v>
      </c>
      <c r="J205" s="24" t="n">
        <f aca="false">SUM(J5:J204)</f>
        <v>26673</v>
      </c>
      <c r="K205" s="24" t="n">
        <f aca="false">SUM(K5:K204)</f>
        <v>81673</v>
      </c>
    </row>
  </sheetData>
  <mergeCells count="1">
    <mergeCell ref="A1:L1"/>
  </mergeCells>
  <conditionalFormatting sqref="L5:L204">
    <cfRule type="expression" priority="2" aboveAverage="0" equalAverage="0" bottom="0" percent="0" rank="0" text="" dxfId="0">
      <formula>LEFT($L5,2)="Ye"</formula>
    </cfRule>
    <cfRule type="expression" priority="3" aboveAverage="0" equalAverage="0" bottom="0" percent="0" rank="0" text="" dxfId="1">
      <formula>$L5="No"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7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1" t="s">
        <v>290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291</v>
      </c>
    </row>
    <row r="4" customFormat="false" ht="15" hidden="false" customHeight="false" outlineLevel="0" collapsed="false">
      <c r="A4" s="4" t="s">
        <v>292</v>
      </c>
    </row>
    <row r="5" customFormat="false" ht="15" hidden="false" customHeight="false" outlineLevel="0" collapsed="false">
      <c r="A5" s="7" t="s">
        <v>293</v>
      </c>
      <c r="B5" s="10" t="n">
        <v>1489</v>
      </c>
    </row>
    <row r="6" customFormat="false" ht="15" hidden="false" customHeight="false" outlineLevel="0" collapsed="false">
      <c r="A6" s="7" t="s">
        <v>294</v>
      </c>
      <c r="B6" s="10" t="n">
        <v>640</v>
      </c>
    </row>
    <row r="7" customFormat="false" ht="15" hidden="false" customHeight="false" outlineLevel="0" collapsed="false">
      <c r="A7" s="7" t="s">
        <v>295</v>
      </c>
      <c r="B7" s="10" t="n">
        <v>2227</v>
      </c>
    </row>
    <row r="8" customFormat="false" ht="15" hidden="false" customHeight="false" outlineLevel="0" collapsed="false">
      <c r="A8" s="7" t="s">
        <v>296</v>
      </c>
      <c r="B8" s="25" t="n">
        <v>47456</v>
      </c>
    </row>
    <row r="9" customFormat="false" ht="15" hidden="false" customHeight="false" outlineLevel="0" collapsed="false">
      <c r="A9" s="7" t="s">
        <v>297</v>
      </c>
      <c r="B9" s="11" t="n">
        <v>150152.25</v>
      </c>
    </row>
    <row r="10" customFormat="false" ht="15" hidden="false" customHeight="false" outlineLevel="0" collapsed="false">
      <c r="A10" s="7" t="s">
        <v>298</v>
      </c>
      <c r="B10" s="10" t="n">
        <v>1310</v>
      </c>
    </row>
    <row r="11" customFormat="false" ht="15" hidden="false" customHeight="false" outlineLevel="0" collapsed="false">
      <c r="A11" s="7" t="s">
        <v>299</v>
      </c>
      <c r="B11" s="25" t="n">
        <v>28623</v>
      </c>
    </row>
    <row r="12" customFormat="false" ht="15" hidden="false" customHeight="false" outlineLevel="0" collapsed="false">
      <c r="A12" s="7" t="s">
        <v>300</v>
      </c>
      <c r="B12" s="11" t="n">
        <v>88809.05</v>
      </c>
    </row>
    <row r="13" customFormat="false" ht="15" hidden="false" customHeight="false" outlineLevel="0" collapsed="false">
      <c r="A13" s="7" t="s">
        <v>301</v>
      </c>
      <c r="B13" s="10" t="n">
        <v>917</v>
      </c>
    </row>
    <row r="14" customFormat="false" ht="15" hidden="false" customHeight="false" outlineLevel="0" collapsed="false">
      <c r="A14" s="7" t="s">
        <v>302</v>
      </c>
      <c r="B14" s="25" t="n">
        <v>18833</v>
      </c>
    </row>
    <row r="15" customFormat="false" ht="15" hidden="false" customHeight="false" outlineLevel="0" collapsed="false">
      <c r="A15" s="7" t="s">
        <v>303</v>
      </c>
      <c r="B15" s="11" t="n">
        <v>61343.2</v>
      </c>
    </row>
    <row r="17" customFormat="false" ht="15" hidden="false" customHeight="false" outlineLevel="0" collapsed="false">
      <c r="A17" s="4" t="s">
        <v>304</v>
      </c>
    </row>
    <row r="18" customFormat="false" ht="30" hidden="false" customHeight="true" outlineLevel="0" collapsed="false">
      <c r="A18" s="16" t="s">
        <v>305</v>
      </c>
      <c r="B18" s="16" t="s">
        <v>306</v>
      </c>
      <c r="C18" s="16" t="s">
        <v>307</v>
      </c>
      <c r="D18" s="16" t="s">
        <v>308</v>
      </c>
      <c r="E18" s="16" t="s">
        <v>309</v>
      </c>
      <c r="F18" s="16" t="s">
        <v>310</v>
      </c>
      <c r="G18" s="16" t="s">
        <v>311</v>
      </c>
    </row>
    <row r="19" customFormat="false" ht="22.35" hidden="false" customHeight="false" outlineLevel="0" collapsed="false">
      <c r="A19" s="7" t="s">
        <v>312</v>
      </c>
      <c r="B19" s="26" t="n">
        <f aca="false">apr_rev</f>
        <v>150152.25</v>
      </c>
      <c r="C19" s="26" t="n">
        <f aca="false">apr_rev + apr_bags*(new_rate-cur_rate)</f>
        <v>163514.25</v>
      </c>
      <c r="D19" s="26" t="n">
        <f aca="false">(apr_rev + apr_bags*(new_rate-cur_rate))*(1-vol_drop)</f>
        <v>163514.25</v>
      </c>
      <c r="E19" s="26" t="n">
        <f aca="false">(b440_rev + b440_bags*(new_rate-cur_rate))*(1-vol_drop)</f>
        <v>66845.2</v>
      </c>
      <c r="F19" s="26" t="n">
        <f aca="false">(apr_rev + apr_bags*(new_rate-cur_rate))*(1-vol_drop)</f>
        <v>163514.25</v>
      </c>
      <c r="G19" s="27" t="s">
        <v>313</v>
      </c>
    </row>
    <row r="20" customFormat="false" ht="15" hidden="false" customHeight="false" outlineLevel="0" collapsed="false">
      <c r="A20" s="7" t="s">
        <v>314</v>
      </c>
      <c r="B20" s="26" t="n">
        <f aca="false">0</f>
        <v>0</v>
      </c>
      <c r="C20" s="26" t="n">
        <f aca="false">0</f>
        <v>0</v>
      </c>
      <c r="D20" s="26" t="n">
        <f aca="false">0</f>
        <v>0</v>
      </c>
      <c r="E20" s="26" t="n">
        <f aca="false">sub_count*sub_fee</f>
        <v>55000</v>
      </c>
      <c r="F20" s="26" t="n">
        <f aca="false">sub_count*sub_fee</f>
        <v>55000</v>
      </c>
      <c r="G20" s="27" t="s">
        <v>315</v>
      </c>
    </row>
    <row r="21" customFormat="false" ht="32.8" hidden="false" customHeight="false" outlineLevel="0" collapsed="false">
      <c r="A21" s="7" t="s">
        <v>316</v>
      </c>
      <c r="B21" s="26" t="n">
        <f aca="false">0</f>
        <v>0</v>
      </c>
      <c r="C21" s="26" t="n">
        <f aca="false">0</f>
        <v>0</v>
      </c>
      <c r="D21" s="26" t="n">
        <f aca="false">0</f>
        <v>0</v>
      </c>
      <c r="E21" s="28" t="n">
        <f aca="false">SUM('Customer Detail (Top 200)'!J5:J204)</f>
        <v>26673</v>
      </c>
      <c r="F21" s="26" t="n">
        <f aca="false">0</f>
        <v>0</v>
      </c>
      <c r="G21" s="27" t="s">
        <v>317</v>
      </c>
    </row>
    <row r="22" customFormat="false" ht="15" hidden="false" customHeight="false" outlineLevel="0" collapsed="false">
      <c r="A22" s="29" t="s">
        <v>318</v>
      </c>
      <c r="B22" s="30" t="n">
        <f aca="false">B19+B20+B21</f>
        <v>150152.25</v>
      </c>
      <c r="C22" s="30" t="n">
        <f aca="false">C19+C20+C21</f>
        <v>163514.25</v>
      </c>
      <c r="D22" s="30" t="n">
        <f aca="false">D19+D20+D21</f>
        <v>163514.25</v>
      </c>
      <c r="E22" s="30" t="n">
        <f aca="false">E19+E20+E21</f>
        <v>148518.2</v>
      </c>
      <c r="F22" s="30" t="n">
        <f aca="false">F19+F20+F21</f>
        <v>218514.25</v>
      </c>
    </row>
    <row r="23" customFormat="false" ht="15" hidden="false" customHeight="false" outlineLevel="0" collapsed="false">
      <c r="A23" s="4" t="s">
        <v>319</v>
      </c>
      <c r="B23" s="26" t="n">
        <f aca="false">B22-$B$22</f>
        <v>0</v>
      </c>
      <c r="C23" s="26" t="n">
        <f aca="false">C22-$B$22</f>
        <v>13362</v>
      </c>
      <c r="D23" s="26" t="n">
        <f aca="false">D22-$B$22</f>
        <v>13362</v>
      </c>
      <c r="E23" s="26" t="n">
        <f aca="false">E22-$B$22</f>
        <v>-1634.04999999999</v>
      </c>
      <c r="F23" s="26" t="n">
        <f aca="false">F22-$B$22</f>
        <v>68362</v>
      </c>
    </row>
    <row r="24" customFormat="false" ht="15" hidden="false" customHeight="false" outlineLevel="0" collapsed="false">
      <c r="A24" s="4" t="s">
        <v>320</v>
      </c>
      <c r="B24" s="31" t="n">
        <f aca="false">B22/$B$22-1</f>
        <v>0</v>
      </c>
      <c r="C24" s="31" t="n">
        <f aca="false">C22/$B$22-1</f>
        <v>0.0889896754793884</v>
      </c>
      <c r="D24" s="31" t="n">
        <f aca="false">D22/$B$22-1</f>
        <v>0.0889896754793884</v>
      </c>
      <c r="E24" s="31" t="n">
        <f aca="false">E22/$B$22-1</f>
        <v>-0.0108826208065479</v>
      </c>
      <c r="F24" s="31" t="n">
        <f aca="false">F22/$B$22-1</f>
        <v>0.455284552845529</v>
      </c>
    </row>
    <row r="26" customFormat="false" ht="22.35" hidden="false" customHeight="false" outlineLevel="0" collapsed="false">
      <c r="A26" s="4" t="s">
        <v>321</v>
      </c>
      <c r="B26" s="26" t="n">
        <f aca="false">B22*12</f>
        <v>1801827</v>
      </c>
      <c r="C26" s="26" t="n">
        <f aca="false">C22*12</f>
        <v>1962171</v>
      </c>
      <c r="D26" s="26" t="n">
        <f aca="false">D22*12</f>
        <v>1962171</v>
      </c>
      <c r="E26" s="26" t="n">
        <f aca="false">E22*12</f>
        <v>1782218.4</v>
      </c>
      <c r="F26" s="26" t="n">
        <f aca="false">F22*12</f>
        <v>2622171</v>
      </c>
      <c r="G26" s="27" t="s">
        <v>322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6"/>
  </cols>
  <sheetData>
    <row r="1" customFormat="false" ht="31.5" hidden="false" customHeight="true" outlineLevel="0" collapsed="false">
      <c r="A1" s="1" t="s">
        <v>323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324</v>
      </c>
    </row>
    <row r="4" customFormat="false" ht="30" hidden="false" customHeight="true" outlineLevel="0" collapsed="false">
      <c r="A4" s="16" t="s">
        <v>325</v>
      </c>
      <c r="B4" s="16" t="s">
        <v>306</v>
      </c>
      <c r="C4" s="16" t="s">
        <v>326</v>
      </c>
      <c r="D4" s="16" t="s">
        <v>327</v>
      </c>
      <c r="E4" s="16" t="s">
        <v>328</v>
      </c>
      <c r="F4" s="16" t="s">
        <v>329</v>
      </c>
      <c r="G4" s="16"/>
    </row>
    <row r="5" customFormat="false" ht="15" hidden="false" customHeight="false" outlineLevel="0" collapsed="false">
      <c r="A5" s="32" t="n">
        <v>0</v>
      </c>
      <c r="B5" s="33" t="n">
        <f aca="false">apr_rev</f>
        <v>150152.25</v>
      </c>
      <c r="C5" s="33" t="n">
        <f aca="false">apr_rev + apr_bags*(new_rate-cur_rate)</f>
        <v>163514.25</v>
      </c>
      <c r="D5" s="33" t="n">
        <f aca="false">(apr_rev + apr_bags*(new_rate-cur_rate))*(1-A5)</f>
        <v>163514.25</v>
      </c>
      <c r="E5" s="33" t="n">
        <f aca="false">(b440_rev + b440_bags*(new_rate-cur_rate))*(1-A5) + sub_count*sub_fee + SUM('Customer Detail (Top 200)'!J5:J204)</f>
        <v>148518.2</v>
      </c>
      <c r="F5" s="33" t="n">
        <f aca="false">(apr_rev + apr_bags*(new_rate-cur_rate))*(1-A5) + sub_count*sub_fee</f>
        <v>218514.25</v>
      </c>
    </row>
    <row r="6" customFormat="false" ht="15" hidden="false" customHeight="false" outlineLevel="0" collapsed="false">
      <c r="A6" s="32" t="n">
        <v>0.025</v>
      </c>
      <c r="B6" s="33" t="n">
        <f aca="false">apr_rev</f>
        <v>150152.25</v>
      </c>
      <c r="C6" s="33" t="n">
        <f aca="false">apr_rev + apr_bags*(new_rate-cur_rate)</f>
        <v>163514.25</v>
      </c>
      <c r="D6" s="33" t="n">
        <f aca="false">(apr_rev + apr_bags*(new_rate-cur_rate))*(1-A6)</f>
        <v>159426.39375</v>
      </c>
      <c r="E6" s="33" t="n">
        <f aca="false">(b440_rev + b440_bags*(new_rate-cur_rate))*(1-A6) + sub_count*sub_fee + SUM('Customer Detail (Top 200)'!J5:J204)</f>
        <v>146847.07</v>
      </c>
      <c r="F6" s="33" t="n">
        <f aca="false">(apr_rev + apr_bags*(new_rate-cur_rate))*(1-A6) + sub_count*sub_fee</f>
        <v>214426.39375</v>
      </c>
    </row>
    <row r="7" customFormat="false" ht="15" hidden="false" customHeight="false" outlineLevel="0" collapsed="false">
      <c r="A7" s="32" t="n">
        <v>0.05</v>
      </c>
      <c r="B7" s="33" t="n">
        <f aca="false">apr_rev</f>
        <v>150152.25</v>
      </c>
      <c r="C7" s="33" t="n">
        <f aca="false">apr_rev + apr_bags*(new_rate-cur_rate)</f>
        <v>163514.25</v>
      </c>
      <c r="D7" s="33" t="n">
        <f aca="false">(apr_rev + apr_bags*(new_rate-cur_rate))*(1-A7)</f>
        <v>155338.5375</v>
      </c>
      <c r="E7" s="33" t="n">
        <f aca="false">(b440_rev + b440_bags*(new_rate-cur_rate))*(1-A7) + sub_count*sub_fee + SUM('Customer Detail (Top 200)'!J5:J204)</f>
        <v>145175.94</v>
      </c>
      <c r="F7" s="33" t="n">
        <f aca="false">(apr_rev + apr_bags*(new_rate-cur_rate))*(1-A7) + sub_count*sub_fee</f>
        <v>210338.5375</v>
      </c>
    </row>
    <row r="8" customFormat="false" ht="15" hidden="false" customHeight="false" outlineLevel="0" collapsed="false">
      <c r="A8" s="32" t="n">
        <v>0.075</v>
      </c>
      <c r="B8" s="33" t="n">
        <f aca="false">apr_rev</f>
        <v>150152.25</v>
      </c>
      <c r="C8" s="33" t="n">
        <f aca="false">apr_rev + apr_bags*(new_rate-cur_rate)</f>
        <v>163514.25</v>
      </c>
      <c r="D8" s="33" t="n">
        <f aca="false">(apr_rev + apr_bags*(new_rate-cur_rate))*(1-A8)</f>
        <v>151250.68125</v>
      </c>
      <c r="E8" s="33" t="n">
        <f aca="false">(b440_rev + b440_bags*(new_rate-cur_rate))*(1-A8) + sub_count*sub_fee + SUM('Customer Detail (Top 200)'!J5:J204)</f>
        <v>143504.81</v>
      </c>
      <c r="F8" s="33" t="n">
        <f aca="false">(apr_rev + apr_bags*(new_rate-cur_rate))*(1-A8) + sub_count*sub_fee</f>
        <v>206250.68125</v>
      </c>
    </row>
    <row r="9" customFormat="false" ht="15" hidden="false" customHeight="false" outlineLevel="0" collapsed="false">
      <c r="A9" s="32" t="n">
        <v>0.1</v>
      </c>
      <c r="B9" s="33" t="n">
        <f aca="false">apr_rev</f>
        <v>150152.25</v>
      </c>
      <c r="C9" s="33" t="n">
        <f aca="false">apr_rev + apr_bags*(new_rate-cur_rate)</f>
        <v>163514.25</v>
      </c>
      <c r="D9" s="33" t="n">
        <f aca="false">(apr_rev + apr_bags*(new_rate-cur_rate))*(1-A9)</f>
        <v>147162.825</v>
      </c>
      <c r="E9" s="33" t="n">
        <f aca="false">(b440_rev + b440_bags*(new_rate-cur_rate))*(1-A9) + sub_count*sub_fee + SUM('Customer Detail (Top 200)'!J5:J204)</f>
        <v>141833.68</v>
      </c>
      <c r="F9" s="33" t="n">
        <f aca="false">(apr_rev + apr_bags*(new_rate-cur_rate))*(1-A9) + sub_count*sub_fee</f>
        <v>202162.825</v>
      </c>
    </row>
    <row r="10" customFormat="false" ht="15" hidden="false" customHeight="false" outlineLevel="0" collapsed="false">
      <c r="A10" s="32" t="n">
        <v>0.15</v>
      </c>
      <c r="B10" s="33" t="n">
        <f aca="false">apr_rev</f>
        <v>150152.25</v>
      </c>
      <c r="C10" s="33" t="n">
        <f aca="false">apr_rev + apr_bags*(new_rate-cur_rate)</f>
        <v>163514.25</v>
      </c>
      <c r="D10" s="33" t="n">
        <f aca="false">(apr_rev + apr_bags*(new_rate-cur_rate))*(1-A10)</f>
        <v>138987.1125</v>
      </c>
      <c r="E10" s="33" t="n">
        <f aca="false">(b440_rev + b440_bags*(new_rate-cur_rate))*(1-A10) + sub_count*sub_fee + SUM('Customer Detail (Top 200)'!J5:J204)</f>
        <v>138491.42</v>
      </c>
      <c r="F10" s="33" t="n">
        <f aca="false">(apr_rev + apr_bags*(new_rate-cur_rate))*(1-A10) + sub_count*sub_fee</f>
        <v>193987.1125</v>
      </c>
    </row>
    <row r="11" customFormat="false" ht="15" hidden="false" customHeight="false" outlineLevel="0" collapsed="false">
      <c r="A11" s="32" t="n">
        <v>0.2</v>
      </c>
      <c r="B11" s="33" t="n">
        <f aca="false">apr_rev</f>
        <v>150152.25</v>
      </c>
      <c r="C11" s="33" t="n">
        <f aca="false">apr_rev + apr_bags*(new_rate-cur_rate)</f>
        <v>163514.25</v>
      </c>
      <c r="D11" s="33" t="n">
        <f aca="false">(apr_rev + apr_bags*(new_rate-cur_rate))*(1-A11)</f>
        <v>130811.4</v>
      </c>
      <c r="E11" s="33" t="n">
        <f aca="false">(b440_rev + b440_bags*(new_rate-cur_rate))*(1-A11) + sub_count*sub_fee + SUM('Customer Detail (Top 200)'!J5:J204)</f>
        <v>135149.16</v>
      </c>
      <c r="F11" s="33" t="n">
        <f aca="false">(apr_rev + apr_bags*(new_rate-cur_rate))*(1-A11) + sub_count*sub_fee</f>
        <v>185811.4</v>
      </c>
    </row>
    <row r="14" customFormat="false" ht="15" hidden="false" customHeight="false" outlineLevel="0" collapsed="false">
      <c r="A14" s="4" t="s">
        <v>321</v>
      </c>
    </row>
    <row r="15" customFormat="false" ht="30" hidden="false" customHeight="true" outlineLevel="0" collapsed="false">
      <c r="A15" s="16" t="s">
        <v>325</v>
      </c>
      <c r="B15" s="16" t="s">
        <v>330</v>
      </c>
      <c r="C15" s="16" t="s">
        <v>331</v>
      </c>
      <c r="D15" s="16" t="s">
        <v>332</v>
      </c>
      <c r="E15" s="16" t="s">
        <v>333</v>
      </c>
      <c r="F15" s="16" t="s">
        <v>334</v>
      </c>
      <c r="G15" s="16"/>
    </row>
    <row r="16" customFormat="false" ht="15" hidden="false" customHeight="false" outlineLevel="0" collapsed="false">
      <c r="A16" s="6" t="n">
        <f aca="false">A5</f>
        <v>0</v>
      </c>
      <c r="B16" s="34" t="n">
        <f aca="false">B5*12</f>
        <v>1801827</v>
      </c>
      <c r="C16" s="34" t="n">
        <f aca="false">C5*12</f>
        <v>1962171</v>
      </c>
      <c r="D16" s="34" t="n">
        <f aca="false">D5*12</f>
        <v>1962171</v>
      </c>
      <c r="E16" s="34" t="n">
        <f aca="false">E5*12</f>
        <v>1782218.4</v>
      </c>
      <c r="F16" s="34" t="n">
        <f aca="false">F5*12</f>
        <v>2622171</v>
      </c>
    </row>
    <row r="17" customFormat="false" ht="15" hidden="false" customHeight="false" outlineLevel="0" collapsed="false">
      <c r="A17" s="6" t="n">
        <f aca="false">A6</f>
        <v>0.025</v>
      </c>
      <c r="B17" s="34" t="n">
        <f aca="false">B6*12</f>
        <v>1801827</v>
      </c>
      <c r="C17" s="34" t="n">
        <f aca="false">C6*12</f>
        <v>1962171</v>
      </c>
      <c r="D17" s="34" t="n">
        <f aca="false">D6*12</f>
        <v>1913116.725</v>
      </c>
      <c r="E17" s="34" t="n">
        <f aca="false">E6*12</f>
        <v>1762164.84</v>
      </c>
      <c r="F17" s="34" t="n">
        <f aca="false">F6*12</f>
        <v>2573116.725</v>
      </c>
    </row>
    <row r="18" customFormat="false" ht="15" hidden="false" customHeight="false" outlineLevel="0" collapsed="false">
      <c r="A18" s="6" t="n">
        <f aca="false">A7</f>
        <v>0.05</v>
      </c>
      <c r="B18" s="34" t="n">
        <f aca="false">B7*12</f>
        <v>1801827</v>
      </c>
      <c r="C18" s="34" t="n">
        <f aca="false">C7*12</f>
        <v>1962171</v>
      </c>
      <c r="D18" s="34" t="n">
        <f aca="false">D7*12</f>
        <v>1864062.45</v>
      </c>
      <c r="E18" s="34" t="n">
        <f aca="false">E7*12</f>
        <v>1742111.28</v>
      </c>
      <c r="F18" s="34" t="n">
        <f aca="false">F7*12</f>
        <v>2524062.45</v>
      </c>
    </row>
    <row r="19" customFormat="false" ht="15" hidden="false" customHeight="false" outlineLevel="0" collapsed="false">
      <c r="A19" s="6" t="n">
        <f aca="false">A8</f>
        <v>0.075</v>
      </c>
      <c r="B19" s="34" t="n">
        <f aca="false">B8*12</f>
        <v>1801827</v>
      </c>
      <c r="C19" s="34" t="n">
        <f aca="false">C8*12</f>
        <v>1962171</v>
      </c>
      <c r="D19" s="34" t="n">
        <f aca="false">D8*12</f>
        <v>1815008.175</v>
      </c>
      <c r="E19" s="34" t="n">
        <f aca="false">E8*12</f>
        <v>1722057.72</v>
      </c>
      <c r="F19" s="34" t="n">
        <f aca="false">F8*12</f>
        <v>2475008.175</v>
      </c>
    </row>
    <row r="20" customFormat="false" ht="15" hidden="false" customHeight="false" outlineLevel="0" collapsed="false">
      <c r="A20" s="6" t="n">
        <f aca="false">A9</f>
        <v>0.1</v>
      </c>
      <c r="B20" s="34" t="n">
        <f aca="false">B9*12</f>
        <v>1801827</v>
      </c>
      <c r="C20" s="34" t="n">
        <f aca="false">C9*12</f>
        <v>1962171</v>
      </c>
      <c r="D20" s="34" t="n">
        <f aca="false">D9*12</f>
        <v>1765953.9</v>
      </c>
      <c r="E20" s="34" t="n">
        <f aca="false">E9*12</f>
        <v>1702004.16</v>
      </c>
      <c r="F20" s="34" t="n">
        <f aca="false">F9*12</f>
        <v>2425953.9</v>
      </c>
    </row>
    <row r="21" customFormat="false" ht="15" hidden="false" customHeight="false" outlineLevel="0" collapsed="false">
      <c r="A21" s="6" t="n">
        <f aca="false">A10</f>
        <v>0.15</v>
      </c>
      <c r="B21" s="34" t="n">
        <f aca="false">B10*12</f>
        <v>1801827</v>
      </c>
      <c r="C21" s="34" t="n">
        <f aca="false">C10*12</f>
        <v>1962171</v>
      </c>
      <c r="D21" s="34" t="n">
        <f aca="false">D10*12</f>
        <v>1667845.35</v>
      </c>
      <c r="E21" s="34" t="n">
        <f aca="false">E10*12</f>
        <v>1661897.04</v>
      </c>
      <c r="F21" s="34" t="n">
        <f aca="false">F10*12</f>
        <v>2327845.35</v>
      </c>
    </row>
    <row r="22" customFormat="false" ht="15" hidden="false" customHeight="false" outlineLevel="0" collapsed="false">
      <c r="A22" s="6" t="n">
        <f aca="false">A11</f>
        <v>0.2</v>
      </c>
      <c r="B22" s="34" t="n">
        <f aca="false">B11*12</f>
        <v>1801827</v>
      </c>
      <c r="C22" s="34" t="n">
        <f aca="false">C11*12</f>
        <v>1962171</v>
      </c>
      <c r="D22" s="34" t="n">
        <f aca="false">D11*12</f>
        <v>1569736.8</v>
      </c>
      <c r="E22" s="34" t="n">
        <f aca="false">E11*12</f>
        <v>1621789.92</v>
      </c>
      <c r="F22" s="34" t="n">
        <f aca="false">F11*12</f>
        <v>2229736.8</v>
      </c>
    </row>
  </sheetData>
  <mergeCells count="1">
    <mergeCell ref="A1:G1"/>
  </mergeCells>
  <conditionalFormatting sqref="A5:F11">
    <cfRule type="expression" priority="2" aboveAverage="0" equalAverage="0" bottom="0" percent="0" rank="0" text="" dxfId="2">
      <formula>$A5=vol_drop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2026-05-10T00:35:15Z</dcterms:created>
  <dc:creator>openpyxl</dc:creator>
  <dc:description/>
  <dc:language>en-US</dc:language>
  <cp:lastModifiedBy/>
  <dcterms:modified xsi:type="dcterms:W3CDTF">2026-05-10T00:35:16Z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