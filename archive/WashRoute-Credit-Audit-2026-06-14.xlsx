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tion Needed (7)" sheetId="2" state="visible" r:id="rId4"/>
    <sheet name="Method &amp; Scope" sheetId="3" state="visible" r:id="rId5"/>
  </sheets>
  <definedNames>
    <definedName function="false" hidden="true" localSheetId="1" name="_xlnm._FilterDatabase" vbProcedure="false">'Action Needed (7)'!$A$3:$J$10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<sst xmlns="http://schemas.openxmlformats.org/spreadsheetml/2006/main" count="110" uniqueCount="94">
  <si>
    <t xml:space="preserve">WashRoute — Credit Audit (Verified)</t>
  </si>
  <si>
    <t xml:space="preserve">Reconciliation of customer credit vs. card payments · June 14, 2026 · v2 (post-verification)</t>
  </si>
  <si>
    <t xml:space="preserve">No balances were changed. For your review and sign-off before any money moves.</t>
  </si>
  <si>
    <t xml:space="preserve">CONFIRMED CUSTOMER HARM</t>
  </si>
  <si>
    <t xml:space="preserve">Orders affected</t>
  </si>
  <si>
    <t xml:space="preserve">7</t>
  </si>
  <si>
    <t xml:space="preserve">Customers affected</t>
  </si>
  <si>
    <t xml:space="preserve">6</t>
  </si>
  <si>
    <t xml:space="preserve">Total to refund / restore</t>
  </si>
  <si>
    <t xml:space="preserve">$552.80</t>
  </si>
  <si>
    <t xml:space="preserve">  — Double card charges (4 orders)</t>
  </si>
  <si>
    <t xml:space="preserve">$447.80  (confirm in Stripe)</t>
  </si>
  <si>
    <t xml:space="preserve">  — Credit deducted, not applied (3 orders)</t>
  </si>
  <si>
    <t xml:space="preserve">$105.00  (confirmed)</t>
  </si>
  <si>
    <t xml:space="preserve">REMOVED AFTER VERIFICATION (NOT REAL HARM)</t>
  </si>
  <si>
    <t xml:space="preserve">Covenant House #4614 — un-itemized commercial charge</t>
  </si>
  <si>
    <t xml:space="preserve">$127.95 (false positive)</t>
  </si>
  <si>
    <t xml:space="preserve">19 'backfill' rows — phantom ledger entries, never deducted</t>
  </si>
  <si>
    <t xml:space="preserve">$380.00 (false positive)</t>
  </si>
  <si>
    <t xml:space="preserve">Prior draft total (overstated)</t>
  </si>
  <si>
    <t xml:space="preserve">$1,060.75 → corrected $552.80</t>
  </si>
  <si>
    <t xml:space="preserve">Sanity: 0 customers with negative balance.</t>
  </si>
  <si>
    <t xml:space="preserve">Receipt double-credit bug = display only, $0 money impact.</t>
  </si>
  <si>
    <t xml:space="preserve">Separate issue: the 'backfill' ledger rows are bogus and make balances</t>
  </si>
  <si>
    <t xml:space="preserve">not reconcile (e.g. Kathrine Long: $40 granted vs $100 'used'). No customer</t>
  </si>
  <si>
    <t xml:space="preserve">money involved, but the ledger needs a cleanup pass — see Method tab.</t>
  </si>
  <si>
    <t xml:space="preserve">Confirmed customer harm — review &amp; approve before issuing refunds/credits</t>
  </si>
  <si>
    <t xml:space="preserve">Order #</t>
  </si>
  <si>
    <t xml:space="preserve">Customer</t>
  </si>
  <si>
    <t xml:space="preserve">Email</t>
  </si>
  <si>
    <t xml:space="preserve">Phone</t>
  </si>
  <si>
    <t xml:space="preserve">Date</t>
  </si>
  <si>
    <t xml:space="preserve">Order Value</t>
  </si>
  <si>
    <t xml:space="preserve">Refund/Restore</t>
  </si>
  <si>
    <t xml:space="preserve">Cause</t>
  </si>
  <si>
    <t xml:space="preserve">Recommended Remedy</t>
  </si>
  <si>
    <t xml:space="preserve">Status</t>
  </si>
  <si>
    <t xml:space="preserve">Ray Thomas</t>
  </si>
  <si>
    <t xml:space="preserve">ray@shack15.com</t>
  </si>
  <si>
    <t xml:space="preserve">(510) 458-1236</t>
  </si>
  <si>
    <t xml:space="preserve">2026-03-28</t>
  </si>
  <si>
    <t xml:space="preserve">Double card charge</t>
  </si>
  <si>
    <t xml:space="preserve">Refund duplicate Stripe charge</t>
  </si>
  <si>
    <t xml:space="preserve">Confirm capture in Stripe</t>
  </si>
  <si>
    <t xml:space="preserve">Christina Liebner</t>
  </si>
  <si>
    <t xml:space="preserve">christina.liebner@gmail.com</t>
  </si>
  <si>
    <t xml:space="preserve">(240) 441-7991</t>
  </si>
  <si>
    <t xml:space="preserve">2026-04-09</t>
  </si>
  <si>
    <t xml:space="preserve">Sabra Peterson</t>
  </si>
  <si>
    <t xml:space="preserve">sabrapeterson9@gmail.com</t>
  </si>
  <si>
    <t xml:space="preserve">+18013689560</t>
  </si>
  <si>
    <t xml:space="preserve">2026-04-10</t>
  </si>
  <si>
    <t xml:space="preserve">2026-04-02</t>
  </si>
  <si>
    <t xml:space="preserve">Danai Lamb</t>
  </si>
  <si>
    <t xml:space="preserve">danai@lamb.net</t>
  </si>
  <si>
    <t xml:space="preserve">(510)7592715</t>
  </si>
  <si>
    <t xml:space="preserve">2026-05-02</t>
  </si>
  <si>
    <t xml:space="preserve">Credit deducted, not applied to charge</t>
  </si>
  <si>
    <t xml:space="preserve">Restore $75 credit (or refund card)</t>
  </si>
  <si>
    <t xml:space="preserve">CONFIRMED</t>
  </si>
  <si>
    <t xml:space="preserve">Joan &amp; Ann Heller &amp; Gordon</t>
  </si>
  <si>
    <t xml:space="preserve">agjh22@gmail.com</t>
  </si>
  <si>
    <t xml:space="preserve">510-501-5971</t>
  </si>
  <si>
    <t xml:space="preserve">2026-04-17</t>
  </si>
  <si>
    <t xml:space="preserve">Restore $20 credit (or refund card)</t>
  </si>
  <si>
    <t xml:space="preserve">Yvonne Prevowillingham</t>
  </si>
  <si>
    <t xml:space="preserve">(785) 317-6511</t>
  </si>
  <si>
    <t xml:space="preserve">2026-05-04</t>
  </si>
  <si>
    <t xml:space="preserve">Restore $10 credit (or refund card)</t>
  </si>
  <si>
    <t xml:space="preserve">TOTAL</t>
  </si>
  <si>
    <t xml:space="preserve">WashRoute Credit Audit — Methodology &amp; Scope (v2)</t>
  </si>
  <si>
    <t xml:space="preserve">How harm was measured</t>
  </si>
  <si>
    <t xml:space="preserve">For every order: card paid (net of refunds) + REAL account credit used  must equal  gross order value (line items + tip).</t>
  </si>
  <si>
    <t xml:space="preserve">Anything paid above that is a real overpayment. Gross value is rebuilt from line items so it is correct whether or not credit was</t>
  </si>
  <si>
    <t xml:space="preserve">baked into total_amount (this is why Todd Bower #7240 correctly balances and is NOT flagged).</t>
  </si>
  <si>
    <t xml:space="preserve">Confirmed real harm: 7 orders / 6 customers / $552.80</t>
  </si>
  <si>
    <t xml:space="preserve">• 4 double card charges ($447.80): each has TWO distinct Stripe payment-intent IDs created ~1 second apart (double-submit).</t>
  </si>
  <si>
    <t xml:space="preserve">  Recommended: refund the duplicate charge. Final step before refunding: confirm both intents were captured in Stripe.</t>
  </si>
  <si>
    <t xml:space="preserve">• 3 credit-deducted-not-applied ($105): credit was pulled from the balance but the card was still charged the full amount.</t>
  </si>
  <si>
    <t xml:space="preserve">  Each verified against the customer's full ledger (granted = used, balance consistent). Danai Lamb $75, Joan &amp; Ann $20, Yvonne $10.</t>
  </si>
  <si>
    <t xml:space="preserve">Removed after verification (were in the first draft, are NOT real)</t>
  </si>
  <si>
    <t xml:space="preserve">• Covenant House #4614 ($127.95): the order has empty line items, so 'gross owed $0' was a data gap, not reality. The $127.95 is a</t>
  </si>
  <si>
    <t xml:space="preserve">  legitimate un-itemized commercial charge. False positive — removed.</t>
  </si>
  <si>
    <t xml:space="preserve">• 19 'backfill' rows ($380): the March (session-128) ledger reconciliation created phantom 'credit applied at intake' rows. Example:</t>
  </si>
  <si>
    <t xml:space="preserve">  Kathrine Long was granted $40 of credit but her ledger shows $100 of credit_use, with a $0 balance — she never had that credit to</t>
  </si>
  <si>
    <t xml:space="preserve">  lose. These rows never reduced a real balance, so there is no customer money to refund. False positives — removed.</t>
  </si>
  <si>
    <t xml:space="preserve">Separate finding — ledger hygiene (no customer money at stake)</t>
  </si>
  <si>
    <t xml:space="preserve">The phantom 'backfill' rows make many customers' ledger math not reconcile against customers.credits. This is a data-quality issue</t>
  </si>
  <si>
    <t xml:space="preserve">in customer_transactions only; balances themselves look correct. Worth a dedicated cleanup pass to delete/relabel the bogus rows</t>
  </si>
  <si>
    <t xml:space="preserve">so future audits aren't noisy — but it does not affect what any customer was charged.</t>
  </si>
  <si>
    <t xml:space="preserve">Notes</t>
  </si>
  <si>
    <t xml:space="preserve">• No balances or charges were modified to produce this report. All remedies require your approval.</t>
  </si>
  <si>
    <t xml:space="preserve">• Refunds / credit restorations move real money — these are for you to authorize; Claude can execute the approved set afterward.</t>
  </si>
  <si>
    <t xml:space="preserve">• Data sources: Supabase 'orders' and 'customer_transactions' (incl. stripe_payment_intent_id), read live June 14,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</si>
</sst>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F2744"/>
      <name val="Arial"/>
      <family val="0"/>
      <charset val="1"/>
    </font>
    <font>
      <sz val="10"/>
      <color rgb="FF6B7280"/>
      <name val="Arial"/>
      <family val="0"/>
      <charset val="1"/>
    </font>
    <font>
      <i val="true"/>
      <sz val="10"/>
      <color rgb="FFB4530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274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2"/>
      <color rgb="FF0F27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B91C1C"/>
      <name val="Arial"/>
      <family val="0"/>
      <charset val="1"/>
    </font>
    <font>
      <b val="true"/>
      <sz val="14"/>
      <color rgb="FF0F2744"/>
      <name val="Arial"/>
      <family val="0"/>
      <charset val="1"/>
    </font>
    <font>
      <b val="true"/>
      <sz val="11"/>
      <color rgb="FF3B82F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DBEAF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F27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91C1C"/>
          <bgColor rgb="FF000000"/>
        </patternFill>
      </fill>
    </dxf>
    <dxf>
      <fill>
        <patternFill patternType="solid">
          <fgColor rgb="FF047857"/>
          <bgColor rgb="FF000000"/>
        </patternFill>
      </fill>
    </dxf>
    <dxf>
      <fill>
        <patternFill patternType="solid">
          <fgColor rgb="FFB4530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FFFCC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F9900"/>
      <rgbColor rgb="FFFF6600"/>
      <rgbColor rgb="FF6B7280"/>
      <rgbColor rgb="FF969696"/>
      <rgbColor rgb="FF0F2744"/>
      <rgbColor rgb="FF339966"/>
      <rgbColor rgb="FF003300"/>
      <rgbColor rgb="FF333300"/>
      <rgbColor rgb="FFB9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/>
      <c r="C5" s="5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15" hidden="false" customHeight="false" outlineLevel="0" collapsed="false">
      <c r="A7" s="6" t="s">
        <v>6</v>
      </c>
      <c r="B7" s="7" t="s">
        <v>7</v>
      </c>
    </row>
    <row r="8" customFormat="false" ht="15" hidden="false" customHeight="false" outlineLevel="0" collapsed="false">
      <c r="A8" s="6" t="s">
        <v>8</v>
      </c>
      <c r="B8" s="7" t="s">
        <v>9</v>
      </c>
    </row>
    <row r="9" customFormat="false" ht="15" hidden="false" customHeight="false" outlineLevel="0" collapsed="false">
      <c r="A9" s="6" t="s">
        <v>10</v>
      </c>
      <c r="B9" s="7" t="s">
        <v>11</v>
      </c>
    </row>
    <row r="10" customFormat="false" ht="15" hidden="false" customHeight="false" outlineLevel="0" collapsed="false">
      <c r="A10" s="6" t="s">
        <v>12</v>
      </c>
      <c r="B10" s="7" t="s">
        <v>13</v>
      </c>
    </row>
    <row r="12" customFormat="false" ht="15" hidden="false" customHeight="false" outlineLevel="0" collapsed="false">
      <c r="A12" s="4" t="s">
        <v>14</v>
      </c>
      <c r="B12" s="5"/>
      <c r="C12" s="5"/>
    </row>
    <row r="13" customFormat="false" ht="15" hidden="false" customHeight="false" outlineLevel="0" collapsed="false">
      <c r="A13" s="2" t="s">
        <v>15</v>
      </c>
      <c r="B13" s="2" t="s">
        <v>16</v>
      </c>
    </row>
    <row r="14" customFormat="false" ht="15" hidden="false" customHeight="false" outlineLevel="0" collapsed="false">
      <c r="A14" s="2" t="s">
        <v>17</v>
      </c>
      <c r="B14" s="2" t="s">
        <v>18</v>
      </c>
    </row>
    <row r="15" customFormat="false" ht="15" hidden="false" customHeight="false" outlineLevel="0" collapsed="false">
      <c r="A15" s="2" t="s">
        <v>19</v>
      </c>
      <c r="B15" s="2" t="s">
        <v>20</v>
      </c>
    </row>
    <row r="17" customFormat="false" ht="15" hidden="false" customHeight="false" outlineLevel="0" collapsed="false">
      <c r="A17" s="8" t="s">
        <v>21</v>
      </c>
    </row>
    <row r="18" customFormat="false" ht="15" hidden="false" customHeight="false" outlineLevel="0" collapsed="false">
      <c r="A18" s="8" t="s">
        <v>22</v>
      </c>
    </row>
    <row r="19" customFormat="false" ht="15" hidden="false" customHeight="false" outlineLevel="0" collapsed="false">
      <c r="A19" s="8" t="s">
        <v>23</v>
      </c>
    </row>
    <row r="20" customFormat="false" ht="15" hidden="false" customHeight="false" outlineLevel="0" collapsed="false">
      <c r="A20" s="8" t="s">
        <v>24</v>
      </c>
    </row>
    <row r="21" customFormat="false" ht="15" hidden="false" customHeight="false" outlineLevel="0" collapsed="false">
      <c r="A2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9" min="9" style="0" width="32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9" t="s">
        <v>26</v>
      </c>
    </row>
    <row r="3" customFormat="false" ht="23.85" hidden="false" customHeight="fals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</row>
    <row r="4" customFormat="false" ht="15" hidden="false" customHeight="false" outlineLevel="0" collapsed="false">
      <c r="A4" s="11" t="n">
        <v>1054</v>
      </c>
      <c r="B4" s="12" t="s">
        <v>37</v>
      </c>
      <c r="C4" s="12" t="s">
        <v>38</v>
      </c>
      <c r="D4" s="12" t="s">
        <v>39</v>
      </c>
      <c r="E4" s="12" t="s">
        <v>40</v>
      </c>
      <c r="F4" s="13" t="n">
        <v>245.95</v>
      </c>
      <c r="G4" s="14" t="n">
        <v>245.95</v>
      </c>
      <c r="H4" s="12" t="s">
        <v>41</v>
      </c>
      <c r="I4" s="12" t="s">
        <v>42</v>
      </c>
      <c r="J4" s="15" t="s">
        <v>43</v>
      </c>
    </row>
    <row r="5" customFormat="false" ht="15" hidden="false" customHeight="false" outlineLevel="0" collapsed="false">
      <c r="A5" s="11" t="n">
        <v>1678</v>
      </c>
      <c r="B5" s="12" t="s">
        <v>44</v>
      </c>
      <c r="C5" s="12" t="s">
        <v>45</v>
      </c>
      <c r="D5" s="12" t="s">
        <v>46</v>
      </c>
      <c r="E5" s="12" t="s">
        <v>47</v>
      </c>
      <c r="F5" s="13" t="n">
        <v>68.95</v>
      </c>
      <c r="G5" s="14" t="n">
        <v>68.95</v>
      </c>
      <c r="H5" s="12" t="s">
        <v>41</v>
      </c>
      <c r="I5" s="12" t="s">
        <v>42</v>
      </c>
      <c r="J5" s="15" t="s">
        <v>43</v>
      </c>
    </row>
    <row r="6" customFormat="false" ht="15" hidden="false" customHeight="false" outlineLevel="0" collapsed="false">
      <c r="A6" s="11" t="n">
        <v>2089</v>
      </c>
      <c r="B6" s="12" t="s">
        <v>48</v>
      </c>
      <c r="C6" s="12" t="s">
        <v>49</v>
      </c>
      <c r="D6" s="12" t="s">
        <v>50</v>
      </c>
      <c r="E6" s="12" t="s">
        <v>51</v>
      </c>
      <c r="F6" s="13" t="n">
        <v>68.95</v>
      </c>
      <c r="G6" s="14" t="n">
        <v>68.95</v>
      </c>
      <c r="H6" s="12" t="s">
        <v>41</v>
      </c>
      <c r="I6" s="12" t="s">
        <v>42</v>
      </c>
      <c r="J6" s="15" t="s">
        <v>43</v>
      </c>
    </row>
    <row r="7" customFormat="false" ht="15" hidden="false" customHeight="false" outlineLevel="0" collapsed="false">
      <c r="A7" s="11" t="n">
        <v>998</v>
      </c>
      <c r="B7" s="12" t="s">
        <v>44</v>
      </c>
      <c r="C7" s="12" t="s">
        <v>45</v>
      </c>
      <c r="D7" s="12" t="s">
        <v>46</v>
      </c>
      <c r="E7" s="12" t="s">
        <v>52</v>
      </c>
      <c r="F7" s="13" t="n">
        <v>83.95</v>
      </c>
      <c r="G7" s="14" t="n">
        <v>63.95</v>
      </c>
      <c r="H7" s="12" t="s">
        <v>41</v>
      </c>
      <c r="I7" s="12" t="s">
        <v>42</v>
      </c>
      <c r="J7" s="15" t="s">
        <v>43</v>
      </c>
    </row>
    <row r="8" customFormat="false" ht="15" hidden="false" customHeight="false" outlineLevel="0" collapsed="false">
      <c r="A8" s="11" t="n">
        <v>3702</v>
      </c>
      <c r="B8" s="12" t="s">
        <v>53</v>
      </c>
      <c r="C8" s="12" t="s">
        <v>54</v>
      </c>
      <c r="D8" s="12" t="s">
        <v>55</v>
      </c>
      <c r="E8" s="12" t="s">
        <v>56</v>
      </c>
      <c r="F8" s="13" t="n">
        <v>147.05</v>
      </c>
      <c r="G8" s="14" t="n">
        <v>75</v>
      </c>
      <c r="H8" s="12" t="s">
        <v>57</v>
      </c>
      <c r="I8" s="12" t="s">
        <v>58</v>
      </c>
      <c r="J8" s="16" t="s">
        <v>59</v>
      </c>
    </row>
    <row r="9" customFormat="false" ht="15" hidden="false" customHeight="false" outlineLevel="0" collapsed="false">
      <c r="A9" s="11" t="n">
        <v>2641</v>
      </c>
      <c r="B9" s="12" t="s">
        <v>60</v>
      </c>
      <c r="C9" s="12" t="s">
        <v>61</v>
      </c>
      <c r="D9" s="12" t="s">
        <v>62</v>
      </c>
      <c r="E9" s="12" t="s">
        <v>63</v>
      </c>
      <c r="F9" s="13" t="n">
        <v>71.95</v>
      </c>
      <c r="G9" s="14" t="n">
        <v>20</v>
      </c>
      <c r="H9" s="12" t="s">
        <v>57</v>
      </c>
      <c r="I9" s="12" t="s">
        <v>64</v>
      </c>
      <c r="J9" s="16" t="s">
        <v>59</v>
      </c>
    </row>
    <row r="10" customFormat="false" ht="15" hidden="false" customHeight="false" outlineLevel="0" collapsed="false">
      <c r="A10" s="11" t="n">
        <v>3838</v>
      </c>
      <c r="B10" s="12" t="s">
        <v>65</v>
      </c>
      <c r="C10" s="12"/>
      <c r="D10" s="12" t="s">
        <v>66</v>
      </c>
      <c r="E10" s="12" t="s">
        <v>67</v>
      </c>
      <c r="F10" s="13" t="n">
        <v>69</v>
      </c>
      <c r="G10" s="14" t="n">
        <v>10</v>
      </c>
      <c r="H10" s="12" t="s">
        <v>57</v>
      </c>
      <c r="I10" s="12" t="s">
        <v>68</v>
      </c>
      <c r="J10" s="16" t="s">
        <v>59</v>
      </c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8" t="s">
        <v>69</v>
      </c>
      <c r="G11" s="19" t="n">
        <f aca="false">SUM(G4:G10)</f>
        <v>552.8</v>
      </c>
      <c r="H11" s="17"/>
      <c r="I11" s="17"/>
      <c r="J11" s="17"/>
    </row>
  </sheetData>
  <autoFilter ref="A3:J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20" t="s">
        <v>70</v>
      </c>
    </row>
    <row r="2" customFormat="false" ht="15" hidden="false" customHeight="false" outlineLevel="0" collapsed="false">
      <c r="A2" s="21"/>
    </row>
    <row r="3" customFormat="false" ht="15" hidden="false" customHeight="false" outlineLevel="0" collapsed="false">
      <c r="A3" s="22" t="s">
        <v>71</v>
      </c>
    </row>
    <row r="4" customFormat="false" ht="15" hidden="false" customHeight="false" outlineLevel="0" collapsed="false">
      <c r="A4" s="21" t="s">
        <v>72</v>
      </c>
    </row>
    <row r="5" customFormat="false" ht="15" hidden="false" customHeight="false" outlineLevel="0" collapsed="false">
      <c r="A5" s="21" t="s">
        <v>73</v>
      </c>
    </row>
    <row r="6" customFormat="false" ht="15" hidden="false" customHeight="false" outlineLevel="0" collapsed="false">
      <c r="A6" s="21" t="s">
        <v>74</v>
      </c>
    </row>
    <row r="7" customFormat="false" ht="15" hidden="false" customHeight="false" outlineLevel="0" collapsed="false">
      <c r="A7" s="21"/>
    </row>
    <row r="8" customFormat="false" ht="15" hidden="false" customHeight="false" outlineLevel="0" collapsed="false">
      <c r="A8" s="22" t="s">
        <v>75</v>
      </c>
    </row>
    <row r="9" customFormat="false" ht="15" hidden="false" customHeight="false" outlineLevel="0" collapsed="false">
      <c r="A9" s="21" t="s">
        <v>76</v>
      </c>
    </row>
    <row r="10" customFormat="false" ht="15" hidden="false" customHeight="false" outlineLevel="0" collapsed="false">
      <c r="A10" s="21" t="s">
        <v>77</v>
      </c>
    </row>
    <row r="11" customFormat="false" ht="15" hidden="false" customHeight="false" outlineLevel="0" collapsed="false">
      <c r="A11" s="21" t="s">
        <v>78</v>
      </c>
    </row>
    <row r="12" customFormat="false" ht="15" hidden="false" customHeight="false" outlineLevel="0" collapsed="false">
      <c r="A12" s="21" t="s">
        <v>79</v>
      </c>
    </row>
    <row r="13" customFormat="false" ht="15" hidden="false" customHeight="false" outlineLevel="0" collapsed="false">
      <c r="A13" s="21"/>
    </row>
    <row r="14" customFormat="false" ht="15" hidden="false" customHeight="false" outlineLevel="0" collapsed="false">
      <c r="A14" s="22" t="s">
        <v>80</v>
      </c>
    </row>
    <row r="15" customFormat="false" ht="15" hidden="false" customHeight="false" outlineLevel="0" collapsed="false">
      <c r="A15" s="21" t="s">
        <v>81</v>
      </c>
    </row>
    <row r="16" customFormat="false" ht="15" hidden="false" customHeight="false" outlineLevel="0" collapsed="false">
      <c r="A16" s="21" t="s">
        <v>82</v>
      </c>
    </row>
    <row r="17" customFormat="false" ht="15" hidden="false" customHeight="false" outlineLevel="0" collapsed="false">
      <c r="A17" s="21" t="s">
        <v>83</v>
      </c>
    </row>
    <row r="18" customFormat="false" ht="15" hidden="false" customHeight="false" outlineLevel="0" collapsed="false">
      <c r="A18" s="21" t="s">
        <v>84</v>
      </c>
    </row>
    <row r="19" customFormat="false" ht="15" hidden="false" customHeight="false" outlineLevel="0" collapsed="false">
      <c r="A19" s="21" t="s">
        <v>85</v>
      </c>
    </row>
    <row r="20" customFormat="false" ht="15" hidden="false" customHeight="false" outlineLevel="0" collapsed="false">
      <c r="A20" s="21"/>
    </row>
    <row r="21" customFormat="false" ht="15" hidden="false" customHeight="false" outlineLevel="0" collapsed="false">
      <c r="A21" s="22" t="s">
        <v>86</v>
      </c>
    </row>
    <row r="22" customFormat="false" ht="15" hidden="false" customHeight="false" outlineLevel="0" collapsed="false">
      <c r="A22" s="21" t="s">
        <v>87</v>
      </c>
    </row>
    <row r="23" customFormat="false" ht="15" hidden="false" customHeight="false" outlineLevel="0" collapsed="false">
      <c r="A23" s="21" t="s">
        <v>88</v>
      </c>
    </row>
    <row r="24" customFormat="false" ht="15" hidden="false" customHeight="false" outlineLevel="0" collapsed="false">
      <c r="A24" s="21" t="s">
        <v>89</v>
      </c>
    </row>
    <row r="25" customFormat="false" ht="15" hidden="false" customHeight="false" outlineLevel="0" collapsed="false">
      <c r="A25" s="21"/>
    </row>
    <row r="26" customFormat="false" ht="15" hidden="false" customHeight="false" outlineLevel="0" collapsed="false">
      <c r="A26" s="22" t="s">
        <v>90</v>
      </c>
    </row>
    <row r="27" customFormat="false" ht="15" hidden="false" customHeight="false" outlineLevel="0" collapsed="false">
      <c r="A27" s="21" t="s">
        <v>91</v>
      </c>
    </row>
    <row r="28" customFormat="false" ht="15" hidden="false" customHeight="false" outlineLevel="0" collapsed="false">
      <c r="A28" s="21" t="s">
        <v>92</v>
      </c>
    </row>
    <row r="29" customFormat="false" ht="15" hidden="false" customHeight="false" outlineLevel="0" collapsed="false">
      <c r="A29" s="21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2026-06-15T00:38:33Z</dcterms:created>
  <dc:creator>openpyxl</dc:creator>
  <dc:description/>
  <dc:language>en-US</dc:language>
  <cp:lastModifiedBy/>
  <dcterms:modified xsi:type="dcterms:W3CDTF">2026-06-15T00:38:33Z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